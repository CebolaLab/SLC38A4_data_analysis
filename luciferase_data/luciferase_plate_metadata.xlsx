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rci/Downloads/"/>
    </mc:Choice>
  </mc:AlternateContent>
  <xr:revisionPtr revIDLastSave="0" documentId="8_{98282E1A-58F9-ED49-9E04-A5CFC91FA6FC}" xr6:coauthVersionLast="47" xr6:coauthVersionMax="47" xr10:uidLastSave="{00000000-0000-0000-0000-000000000000}"/>
  <bookViews>
    <workbookView xWindow="3000" yWindow="1340" windowWidth="26040" windowHeight="14960" firstSheet="1" activeTab="1" xr2:uid="{B2980733-84A3-7F46-BD4B-3B1B1EC6609D}"/>
  </bookViews>
  <sheets>
    <sheet name="Readme" sheetId="1" r:id="rId1"/>
    <sheet name="Figure 5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2" l="1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8" i="2"/>
  <c r="E9" i="2"/>
  <c r="E10" i="2"/>
  <c r="E11" i="2"/>
  <c r="E12" i="2"/>
  <c r="E13" i="2"/>
  <c r="E14" i="2"/>
  <c r="E15" i="2"/>
  <c r="F15" i="2" s="1"/>
  <c r="E16" i="2"/>
  <c r="E17" i="2"/>
  <c r="E18" i="2"/>
  <c r="E19" i="2"/>
  <c r="F19" i="2" s="1"/>
  <c r="E20" i="2"/>
  <c r="E21" i="2"/>
  <c r="E22" i="2"/>
  <c r="E23" i="2"/>
  <c r="E24" i="2"/>
  <c r="E25" i="2"/>
  <c r="E26" i="2"/>
  <c r="E27" i="2"/>
  <c r="F27" i="2" s="1"/>
  <c r="E5" i="2"/>
  <c r="E6" i="2"/>
  <c r="E7" i="2"/>
  <c r="E4" i="2"/>
  <c r="F26" i="2" l="1"/>
  <c r="F25" i="2"/>
  <c r="F18" i="2"/>
  <c r="F17" i="2"/>
  <c r="F14" i="2"/>
  <c r="F13" i="2"/>
  <c r="F51" i="2"/>
  <c r="F50" i="2"/>
  <c r="F49" i="2"/>
  <c r="F48" i="2"/>
  <c r="F44" i="2"/>
  <c r="F43" i="2"/>
  <c r="F42" i="2"/>
  <c r="F41" i="2"/>
  <c r="F40" i="2"/>
  <c r="F39" i="2"/>
  <c r="F38" i="2"/>
  <c r="F37" i="2"/>
  <c r="F36" i="2"/>
  <c r="F35" i="2"/>
  <c r="F31" i="2"/>
  <c r="F30" i="2"/>
  <c r="F29" i="2"/>
  <c r="F28" i="2"/>
  <c r="F75" i="2"/>
  <c r="F74" i="2"/>
  <c r="F73" i="2"/>
  <c r="F72" i="2"/>
  <c r="F71" i="2"/>
  <c r="F70" i="2"/>
  <c r="F69" i="2"/>
  <c r="F68" i="2"/>
  <c r="F67" i="2"/>
  <c r="F66" i="2"/>
  <c r="F65" i="2"/>
  <c r="F64" i="2"/>
  <c r="F62" i="2"/>
  <c r="F61" i="2"/>
  <c r="F60" i="2"/>
  <c r="F59" i="2"/>
  <c r="F58" i="2"/>
  <c r="F57" i="2"/>
  <c r="F56" i="2"/>
  <c r="F55" i="2"/>
  <c r="F54" i="2"/>
  <c r="F53" i="2"/>
  <c r="F52" i="2"/>
  <c r="F99" i="2"/>
  <c r="F98" i="2"/>
  <c r="F97" i="2"/>
  <c r="F96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4" i="2"/>
  <c r="F20" i="2"/>
  <c r="F32" i="2"/>
  <c r="F47" i="2"/>
  <c r="F33" i="2"/>
  <c r="F9" i="2"/>
  <c r="F8" i="2"/>
  <c r="F46" i="2"/>
  <c r="F7" i="2"/>
  <c r="F23" i="2"/>
  <c r="F5" i="2"/>
  <c r="F22" i="2"/>
  <c r="F34" i="2"/>
  <c r="F6" i="2"/>
  <c r="F11" i="2"/>
  <c r="F45" i="2"/>
  <c r="F10" i="2"/>
  <c r="F21" i="2"/>
</calcChain>
</file>

<file path=xl/sharedStrings.xml><?xml version="1.0" encoding="utf-8"?>
<sst xmlns="http://schemas.openxmlformats.org/spreadsheetml/2006/main" count="204" uniqueCount="40">
  <si>
    <t>Supplementary Data Set X. Raw data of the luciferase episomal reporter assays for all cis-regulatory elements tested in this study.</t>
  </si>
  <si>
    <t>In this spreadsheet we provide the raw firefly/renilla luciferase values for all cis-regulatory elements tested by luciferase reporter assay shown in the manuscript.</t>
  </si>
  <si>
    <t>Each tab is labeled with the name of the corresponding figure panel.</t>
  </si>
  <si>
    <t>"Exp1", "Exp2", etc refer to independent experiments performed on different days.</t>
  </si>
  <si>
    <t>Supplementary Dataset x. Raw data of luciferase episomal reporter assays presented in Figure 2 panel C.</t>
  </si>
  <si>
    <t xml:space="preserve">Red colour indicates outliers determined by Dixon's test, that were removed and not shown in the figure. </t>
  </si>
  <si>
    <t>Sample</t>
  </si>
  <si>
    <t>Sample type</t>
  </si>
  <si>
    <t>Firefly Luciferase</t>
  </si>
  <si>
    <t>Renilla</t>
  </si>
  <si>
    <t>Ratio</t>
  </si>
  <si>
    <t>Relative activity</t>
  </si>
  <si>
    <t>pGL4.10-exp1</t>
  </si>
  <si>
    <t>Empty vector (promoterless)</t>
  </si>
  <si>
    <t>pGL4.10-exp2</t>
  </si>
  <si>
    <t>pGL4.10-exp3</t>
  </si>
  <si>
    <t>pGL4.23-exp1</t>
  </si>
  <si>
    <t>Empty vector (minimal promoter)</t>
  </si>
  <si>
    <t>pGL4.23-exp2</t>
  </si>
  <si>
    <t>pGL4.23-exp3</t>
  </si>
  <si>
    <t>enhancer rs11183620/A exp1</t>
  </si>
  <si>
    <t>Risk</t>
  </si>
  <si>
    <t>enhancer rs11183620/A exp2</t>
  </si>
  <si>
    <t>enhancer rs11183620/A exp3</t>
  </si>
  <si>
    <t>enhancer rs11183620/G exp1</t>
  </si>
  <si>
    <t>Non-risk</t>
  </si>
  <si>
    <t>enhancer rs11183620/G exp2</t>
  </si>
  <si>
    <t>enhancer rs11183620/G exp3</t>
  </si>
  <si>
    <t>promoter rs4994910/C exp1</t>
  </si>
  <si>
    <t>promoter rs4994910/C exp2</t>
  </si>
  <si>
    <t>promoter rs4994910/C exp3</t>
  </si>
  <si>
    <t>promoter rs4994910/T exp1</t>
  </si>
  <si>
    <t>promoter rs4994910/T exp2</t>
  </si>
  <si>
    <t>promoter rs4994910/T exp3</t>
  </si>
  <si>
    <t>enhancer rs4994910/C exp1</t>
  </si>
  <si>
    <t>enhancer rs4994910/C exp2</t>
  </si>
  <si>
    <t>enhancer rs4994910/C exp3</t>
  </si>
  <si>
    <t>enhancer rs4994910/T exp1</t>
  </si>
  <si>
    <t>enhancer rs4994910/T exp2</t>
  </si>
  <si>
    <t>enhancer rs4994910/T exp3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</si>
</sst>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7D7E-C584-F648-9723-81E2E140F878}">
  <dimension ref="A1:J10"/>
  <sheetViews>
    <sheetView workbookViewId="0"/>
  </sheetViews>
  <sheetFormatPr defaultColWidth="11" defaultRowHeight="15.95"/>
  <sheetData>
    <row r="1" spans="1:10" ht="17.10000000000000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12" t="s">
        <v>3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mergeCells count="3">
    <mergeCell ref="A3:J4"/>
    <mergeCell ref="A6:J6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6A41-DFE3-174F-8E31-C3ABA26DEBF6}">
  <dimension ref="A1:F99"/>
  <sheetViews>
    <sheetView tabSelected="1" workbookViewId="0">
      <selection activeCell="F4" sqref="F4"/>
    </sheetView>
  </sheetViews>
  <sheetFormatPr defaultColWidth="11" defaultRowHeight="15.95"/>
  <cols>
    <col min="1" max="1" width="24.5" customWidth="1"/>
  </cols>
  <sheetData>
    <row r="1" spans="1:6">
      <c r="A1" s="5" t="s">
        <v>4</v>
      </c>
      <c r="B1" s="5"/>
      <c r="C1" s="5"/>
      <c r="D1" s="6"/>
      <c r="E1" s="5"/>
      <c r="F1" s="6"/>
    </row>
    <row r="2" spans="1:6" ht="17.100000000000001" thickBot="1">
      <c r="A2" s="7" t="s">
        <v>5</v>
      </c>
      <c r="B2" s="7"/>
      <c r="C2" s="7"/>
      <c r="D2" s="6"/>
      <c r="E2" s="6"/>
      <c r="F2" s="6"/>
    </row>
    <row r="3" spans="1:6" ht="17.100000000000001" thickBo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</row>
    <row r="4" spans="1:6">
      <c r="A4" s="9" t="s">
        <v>12</v>
      </c>
      <c r="B4" s="9" t="s">
        <v>13</v>
      </c>
      <c r="C4">
        <v>4677.83</v>
      </c>
      <c r="D4">
        <v>424904</v>
      </c>
      <c r="E4">
        <f>C4/D4</f>
        <v>1.1009145595240336E-2</v>
      </c>
      <c r="F4">
        <f>E4/AVERAGE($E$4:$E$7)</f>
        <v>1.2083464749273436</v>
      </c>
    </row>
    <row r="5" spans="1:6">
      <c r="A5" s="9" t="s">
        <v>12</v>
      </c>
      <c r="B5" s="9" t="s">
        <v>13</v>
      </c>
      <c r="C5">
        <v>2223.5300000000002</v>
      </c>
      <c r="D5">
        <v>325890</v>
      </c>
      <c r="E5">
        <f t="shared" ref="E5:E68" si="0">C5/D5</f>
        <v>6.8229463929546782E-3</v>
      </c>
      <c r="F5">
        <f t="shared" ref="F5:F27" si="1">E5/AVERAGE($E$4:$E$7)</f>
        <v>0.74887584610647862</v>
      </c>
    </row>
    <row r="6" spans="1:6">
      <c r="A6" s="9" t="s">
        <v>12</v>
      </c>
      <c r="B6" s="9" t="s">
        <v>13</v>
      </c>
      <c r="C6">
        <v>4184.42</v>
      </c>
      <c r="D6">
        <v>418310</v>
      </c>
      <c r="E6">
        <f t="shared" si="0"/>
        <v>1.000315555449308E-2</v>
      </c>
      <c r="F6">
        <f t="shared" si="1"/>
        <v>1.0979305930559562</v>
      </c>
    </row>
    <row r="7" spans="1:6">
      <c r="A7" s="9" t="s">
        <v>12</v>
      </c>
      <c r="B7" s="9" t="s">
        <v>13</v>
      </c>
      <c r="C7">
        <v>3329.42</v>
      </c>
      <c r="D7">
        <v>386763</v>
      </c>
      <c r="E7">
        <f t="shared" si="0"/>
        <v>8.6084242805025309E-3</v>
      </c>
      <c r="F7">
        <f t="shared" si="1"/>
        <v>0.94484708591022193</v>
      </c>
    </row>
    <row r="8" spans="1:6">
      <c r="A8" s="9" t="s">
        <v>14</v>
      </c>
      <c r="B8" s="9" t="s">
        <v>13</v>
      </c>
      <c r="C8">
        <v>925.94</v>
      </c>
      <c r="D8">
        <v>175746</v>
      </c>
      <c r="E8">
        <f t="shared" si="0"/>
        <v>5.2686263129744062E-3</v>
      </c>
      <c r="F8">
        <f>E8/AVERAGE($E$8:$E$11)</f>
        <v>0.82201466067756546</v>
      </c>
    </row>
    <row r="9" spans="1:6">
      <c r="A9" s="9" t="s">
        <v>14</v>
      </c>
      <c r="B9" s="9" t="s">
        <v>13</v>
      </c>
      <c r="C9">
        <v>1461.5</v>
      </c>
      <c r="D9">
        <v>220942</v>
      </c>
      <c r="E9">
        <f t="shared" si="0"/>
        <v>6.6148581980791342E-3</v>
      </c>
      <c r="F9">
        <f t="shared" ref="F9:F11" si="2">E9/AVERAGE($E$8:$E$11)</f>
        <v>1.0320546749982884</v>
      </c>
    </row>
    <row r="10" spans="1:6">
      <c r="A10" s="9" t="s">
        <v>14</v>
      </c>
      <c r="B10" s="9" t="s">
        <v>13</v>
      </c>
      <c r="C10">
        <v>929.14099999999996</v>
      </c>
      <c r="D10">
        <v>140469</v>
      </c>
      <c r="E10">
        <f t="shared" si="0"/>
        <v>6.6145626437149833E-3</v>
      </c>
      <c r="F10">
        <f t="shared" si="2"/>
        <v>1.0320085624053794</v>
      </c>
    </row>
    <row r="11" spans="1:6">
      <c r="A11" s="9" t="s">
        <v>14</v>
      </c>
      <c r="B11" s="9" t="s">
        <v>13</v>
      </c>
      <c r="C11">
        <v>897.53800000000001</v>
      </c>
      <c r="D11">
        <v>125713</v>
      </c>
      <c r="E11">
        <f t="shared" si="0"/>
        <v>7.1395798366119655E-3</v>
      </c>
      <c r="F11">
        <f t="shared" si="2"/>
        <v>1.1139221019187668</v>
      </c>
    </row>
    <row r="12" spans="1:6" s="11" customFormat="1">
      <c r="A12" s="10" t="s">
        <v>15</v>
      </c>
      <c r="B12" s="10" t="s">
        <v>13</v>
      </c>
      <c r="C12" s="11">
        <v>6083.24</v>
      </c>
      <c r="D12" s="11">
        <v>112805</v>
      </c>
      <c r="E12" s="11">
        <f t="shared" si="0"/>
        <v>5.3927042241035415E-2</v>
      </c>
    </row>
    <row r="13" spans="1:6">
      <c r="A13" s="9" t="s">
        <v>15</v>
      </c>
      <c r="B13" s="9" t="s">
        <v>13</v>
      </c>
      <c r="C13">
        <v>1181.27</v>
      </c>
      <c r="D13">
        <v>88349.2</v>
      </c>
      <c r="E13">
        <f t="shared" si="0"/>
        <v>1.3370466286055788E-2</v>
      </c>
      <c r="F13">
        <f>E13/AVERAGE($E$13:$E$15)</f>
        <v>0.7445872199868433</v>
      </c>
    </row>
    <row r="14" spans="1:6">
      <c r="A14" s="9" t="s">
        <v>15</v>
      </c>
      <c r="B14" s="9" t="s">
        <v>13</v>
      </c>
      <c r="C14">
        <v>1779.45</v>
      </c>
      <c r="D14">
        <v>214686</v>
      </c>
      <c r="E14">
        <f t="shared" si="0"/>
        <v>8.2886168636986113E-3</v>
      </c>
      <c r="F14">
        <f t="shared" ref="F14:F15" si="3">E14/AVERAGE($E$13:$E$15)</f>
        <v>0.46158436482606796</v>
      </c>
    </row>
    <row r="15" spans="1:6">
      <c r="A15" s="9" t="s">
        <v>15</v>
      </c>
      <c r="B15" s="9" t="s">
        <v>13</v>
      </c>
      <c r="C15">
        <v>4515.16</v>
      </c>
      <c r="D15">
        <v>140172</v>
      </c>
      <c r="E15">
        <f t="shared" si="0"/>
        <v>3.2211568644237076E-2</v>
      </c>
      <c r="F15">
        <f t="shared" si="3"/>
        <v>1.7938284151870887</v>
      </c>
    </row>
    <row r="16" spans="1:6" s="11" customFormat="1">
      <c r="A16" s="10" t="s">
        <v>16</v>
      </c>
      <c r="B16" s="10" t="s">
        <v>17</v>
      </c>
      <c r="C16" s="11">
        <v>4306.67</v>
      </c>
      <c r="D16" s="11">
        <v>475897</v>
      </c>
      <c r="E16" s="11">
        <f t="shared" si="0"/>
        <v>9.0495842587786854E-3</v>
      </c>
    </row>
    <row r="17" spans="1:6">
      <c r="A17" s="9" t="s">
        <v>16</v>
      </c>
      <c r="B17" s="9" t="s">
        <v>17</v>
      </c>
      <c r="C17">
        <v>2006.99</v>
      </c>
      <c r="D17">
        <v>494303</v>
      </c>
      <c r="E17">
        <f t="shared" si="0"/>
        <v>4.0602424019275628E-3</v>
      </c>
      <c r="F17">
        <f>E17/AVERAGE($E$17:$E$19)</f>
        <v>0.97020147485562325</v>
      </c>
    </row>
    <row r="18" spans="1:6">
      <c r="A18" s="9" t="s">
        <v>16</v>
      </c>
      <c r="B18" s="9" t="s">
        <v>17</v>
      </c>
      <c r="C18">
        <v>1491.5</v>
      </c>
      <c r="D18">
        <v>355734</v>
      </c>
      <c r="E18">
        <f t="shared" si="0"/>
        <v>4.1927395188539754E-3</v>
      </c>
      <c r="F18">
        <f t="shared" ref="F18:F19" si="4">E18/AVERAGE($E$17:$E$19)</f>
        <v>1.0018618747852177</v>
      </c>
    </row>
    <row r="19" spans="1:6">
      <c r="A19" s="9" t="s">
        <v>16</v>
      </c>
      <c r="B19" s="9" t="s">
        <v>17</v>
      </c>
      <c r="C19">
        <v>2103.21</v>
      </c>
      <c r="D19">
        <v>488907</v>
      </c>
      <c r="E19">
        <f t="shared" si="0"/>
        <v>4.3018610901459789E-3</v>
      </c>
      <c r="F19">
        <f t="shared" si="4"/>
        <v>1.0279366503591598</v>
      </c>
    </row>
    <row r="20" spans="1:6">
      <c r="A20" s="9" t="s">
        <v>18</v>
      </c>
      <c r="B20" s="9" t="s">
        <v>17</v>
      </c>
      <c r="C20">
        <v>1743.44</v>
      </c>
      <c r="D20">
        <v>592458</v>
      </c>
      <c r="E20">
        <f t="shared" si="0"/>
        <v>2.9427233660445128E-3</v>
      </c>
      <c r="F20">
        <f>E20/AVERAGE($E$20:$E$23)</f>
        <v>0.75474353220619317</v>
      </c>
    </row>
    <row r="21" spans="1:6">
      <c r="A21" s="9" t="s">
        <v>18</v>
      </c>
      <c r="B21" s="9" t="s">
        <v>17</v>
      </c>
      <c r="C21">
        <v>1677.63</v>
      </c>
      <c r="D21">
        <v>429922</v>
      </c>
      <c r="E21">
        <f t="shared" si="0"/>
        <v>3.9021729523029763E-3</v>
      </c>
      <c r="F21">
        <f t="shared" ref="F21:F23" si="5">E21/AVERAGE($E$20:$E$23)</f>
        <v>1.0008211547452903</v>
      </c>
    </row>
    <row r="22" spans="1:6">
      <c r="A22" s="9" t="s">
        <v>18</v>
      </c>
      <c r="B22" s="9" t="s">
        <v>17</v>
      </c>
      <c r="C22">
        <v>1399.29</v>
      </c>
      <c r="D22">
        <v>349440</v>
      </c>
      <c r="E22">
        <f t="shared" si="0"/>
        <v>4.0043784340659336E-3</v>
      </c>
      <c r="F22">
        <f t="shared" si="5"/>
        <v>1.027034602875244</v>
      </c>
    </row>
    <row r="23" spans="1:6">
      <c r="A23" s="9" t="s">
        <v>18</v>
      </c>
      <c r="B23" s="9" t="s">
        <v>17</v>
      </c>
      <c r="C23">
        <v>1818.36</v>
      </c>
      <c r="D23">
        <v>383086</v>
      </c>
      <c r="E23">
        <f t="shared" si="0"/>
        <v>4.7466104216807711E-3</v>
      </c>
      <c r="F23">
        <f t="shared" si="5"/>
        <v>1.2174007101732724</v>
      </c>
    </row>
    <row r="24" spans="1:6" s="11" customFormat="1">
      <c r="A24" s="10" t="s">
        <v>19</v>
      </c>
      <c r="B24" s="10" t="s">
        <v>17</v>
      </c>
      <c r="C24" s="11">
        <v>4165.1099999999997</v>
      </c>
      <c r="D24" s="11">
        <v>77194.7</v>
      </c>
      <c r="E24" s="11">
        <f t="shared" si="0"/>
        <v>5.3955906299266658E-2</v>
      </c>
    </row>
    <row r="25" spans="1:6">
      <c r="A25" s="9" t="s">
        <v>19</v>
      </c>
      <c r="B25" s="9" t="s">
        <v>17</v>
      </c>
      <c r="C25">
        <v>667.02099999999996</v>
      </c>
      <c r="D25">
        <v>76266.7</v>
      </c>
      <c r="E25">
        <f t="shared" si="0"/>
        <v>8.7459008977705862E-3</v>
      </c>
      <c r="F25">
        <f>E25/AVERAGE($E$25:$E$27)</f>
        <v>1.326927313442352</v>
      </c>
    </row>
    <row r="26" spans="1:6">
      <c r="A26" s="9" t="s">
        <v>19</v>
      </c>
      <c r="B26" s="9" t="s">
        <v>17</v>
      </c>
      <c r="C26">
        <v>731.82500000000005</v>
      </c>
      <c r="D26">
        <v>132145</v>
      </c>
      <c r="E26">
        <f t="shared" si="0"/>
        <v>5.538045328994665E-3</v>
      </c>
      <c r="F26">
        <f t="shared" ref="F26:F27" si="6">E26/AVERAGE($E$25:$E$27)</f>
        <v>0.84023174925273636</v>
      </c>
    </row>
    <row r="27" spans="1:6">
      <c r="A27" s="9" t="s">
        <v>19</v>
      </c>
      <c r="B27" s="9" t="s">
        <v>17</v>
      </c>
      <c r="C27">
        <v>1515.61</v>
      </c>
      <c r="D27">
        <v>276101</v>
      </c>
      <c r="E27">
        <f t="shared" si="0"/>
        <v>5.4893318024925655E-3</v>
      </c>
      <c r="F27">
        <f t="shared" si="6"/>
        <v>0.83284093730491171</v>
      </c>
    </row>
    <row r="28" spans="1:6">
      <c r="A28" t="s">
        <v>20</v>
      </c>
      <c r="B28" s="9" t="s">
        <v>21</v>
      </c>
      <c r="C28">
        <v>2219.63</v>
      </c>
      <c r="D28">
        <v>591587</v>
      </c>
      <c r="E28">
        <f t="shared" si="0"/>
        <v>3.7519925218099789E-3</v>
      </c>
      <c r="F28">
        <f>E28/AVERAGE($E$17:$E$19)</f>
        <v>0.89654466851022607</v>
      </c>
    </row>
    <row r="29" spans="1:6">
      <c r="A29" t="s">
        <v>20</v>
      </c>
      <c r="B29" s="9" t="s">
        <v>21</v>
      </c>
      <c r="C29">
        <v>1021.75</v>
      </c>
      <c r="D29">
        <v>808452</v>
      </c>
      <c r="E29">
        <f t="shared" si="0"/>
        <v>1.2638350823549202E-3</v>
      </c>
      <c r="F29">
        <f t="shared" ref="F29:F31" si="7">E29/AVERAGE($E$17:$E$19)</f>
        <v>0.30199543266010587</v>
      </c>
    </row>
    <row r="30" spans="1:6">
      <c r="A30" t="s">
        <v>20</v>
      </c>
      <c r="B30" s="9" t="s">
        <v>21</v>
      </c>
      <c r="C30">
        <v>1777.25</v>
      </c>
      <c r="D30">
        <v>664391</v>
      </c>
      <c r="E30">
        <f t="shared" si="0"/>
        <v>2.6750061334364856E-3</v>
      </c>
      <c r="F30">
        <f t="shared" si="7"/>
        <v>0.63919703283622276</v>
      </c>
    </row>
    <row r="31" spans="1:6">
      <c r="A31" t="s">
        <v>20</v>
      </c>
      <c r="B31" s="9" t="s">
        <v>21</v>
      </c>
      <c r="C31">
        <v>1052.6500000000001</v>
      </c>
      <c r="D31">
        <v>732843</v>
      </c>
      <c r="E31">
        <f t="shared" si="0"/>
        <v>1.4363922422674434E-3</v>
      </c>
      <c r="F31">
        <f t="shared" si="7"/>
        <v>0.34322824451502087</v>
      </c>
    </row>
    <row r="32" spans="1:6">
      <c r="A32" t="s">
        <v>22</v>
      </c>
      <c r="B32" s="9" t="s">
        <v>21</v>
      </c>
      <c r="C32">
        <v>10474.799999999999</v>
      </c>
      <c r="D32">
        <v>550255</v>
      </c>
      <c r="E32">
        <f t="shared" si="0"/>
        <v>1.9036265004407048E-2</v>
      </c>
      <c r="F32">
        <f>E32/AVERAGE($E$20:$E$23)</f>
        <v>4.8823814209731564</v>
      </c>
    </row>
    <row r="33" spans="1:6">
      <c r="A33" t="s">
        <v>22</v>
      </c>
      <c r="B33" s="9" t="s">
        <v>21</v>
      </c>
      <c r="C33">
        <v>4423.0200000000004</v>
      </c>
      <c r="D33">
        <v>387591</v>
      </c>
      <c r="E33">
        <f t="shared" si="0"/>
        <v>1.1411565284023624E-2</v>
      </c>
      <c r="F33">
        <f t="shared" ref="F33:F36" si="8">E33/AVERAGE($E$20:$E$23)</f>
        <v>2.9268143889592095</v>
      </c>
    </row>
    <row r="34" spans="1:6">
      <c r="A34" t="s">
        <v>22</v>
      </c>
      <c r="B34" s="9" t="s">
        <v>21</v>
      </c>
      <c r="C34">
        <v>881.13699999999994</v>
      </c>
      <c r="D34">
        <v>491163</v>
      </c>
      <c r="E34">
        <f t="shared" si="0"/>
        <v>1.7939808169589321E-3</v>
      </c>
      <c r="F34">
        <f t="shared" si="8"/>
        <v>0.46011644659678669</v>
      </c>
    </row>
    <row r="35" spans="1:6">
      <c r="A35" t="s">
        <v>22</v>
      </c>
      <c r="B35" s="9" t="s">
        <v>21</v>
      </c>
      <c r="C35">
        <v>1157.96</v>
      </c>
      <c r="D35">
        <v>361373</v>
      </c>
      <c r="E35">
        <f t="shared" si="0"/>
        <v>3.2043345795064932E-3</v>
      </c>
      <c r="F35">
        <f t="shared" si="8"/>
        <v>0.82184102889629029</v>
      </c>
    </row>
    <row r="36" spans="1:6">
      <c r="A36" t="s">
        <v>23</v>
      </c>
      <c r="B36" s="9" t="s">
        <v>21</v>
      </c>
      <c r="C36">
        <v>2552.61</v>
      </c>
      <c r="D36">
        <v>179344</v>
      </c>
      <c r="E36">
        <f t="shared" si="0"/>
        <v>1.4233038183602463E-2</v>
      </c>
      <c r="F36">
        <f>E36/AVERAGE($E$25:$E$27)</f>
        <v>2.1594352988729044</v>
      </c>
    </row>
    <row r="37" spans="1:6">
      <c r="A37" t="s">
        <v>23</v>
      </c>
      <c r="B37" s="9" t="s">
        <v>21</v>
      </c>
      <c r="C37">
        <v>1098.6600000000001</v>
      </c>
      <c r="D37">
        <v>241058</v>
      </c>
      <c r="E37">
        <f t="shared" si="0"/>
        <v>4.557658322893246E-3</v>
      </c>
      <c r="F37">
        <f t="shared" ref="F37:F39" si="9">E37/AVERAGE($E$25:$E$27)</f>
        <v>0.69148751908754447</v>
      </c>
    </row>
    <row r="38" spans="1:6">
      <c r="A38" t="s">
        <v>23</v>
      </c>
      <c r="B38" s="9" t="s">
        <v>21</v>
      </c>
      <c r="C38">
        <v>1021.45</v>
      </c>
      <c r="D38">
        <v>132826</v>
      </c>
      <c r="E38">
        <f t="shared" si="0"/>
        <v>7.6901359673557891E-3</v>
      </c>
      <c r="F38">
        <f t="shared" si="9"/>
        <v>1.1667467512433147</v>
      </c>
    </row>
    <row r="39" spans="1:6">
      <c r="A39" t="s">
        <v>23</v>
      </c>
      <c r="B39" s="9" t="s">
        <v>21</v>
      </c>
      <c r="C39">
        <v>1089.76</v>
      </c>
      <c r="D39">
        <v>137129</v>
      </c>
      <c r="E39">
        <f t="shared" si="0"/>
        <v>7.9469696417242153E-3</v>
      </c>
      <c r="F39">
        <f t="shared" si="9"/>
        <v>1.2057135336840004</v>
      </c>
    </row>
    <row r="40" spans="1:6">
      <c r="A40" t="s">
        <v>24</v>
      </c>
      <c r="B40" s="9" t="s">
        <v>25</v>
      </c>
      <c r="C40">
        <v>2726.65</v>
      </c>
      <c r="D40">
        <v>785126</v>
      </c>
      <c r="E40">
        <f t="shared" si="0"/>
        <v>3.4728820596948771E-3</v>
      </c>
      <c r="F40">
        <f>E40/AVERAGE($E$17:$E$19)</f>
        <v>0.82985077312527322</v>
      </c>
    </row>
    <row r="41" spans="1:6">
      <c r="A41" t="s">
        <v>24</v>
      </c>
      <c r="B41" s="9" t="s">
        <v>25</v>
      </c>
      <c r="C41">
        <v>2719.75</v>
      </c>
      <c r="D41">
        <v>1146370</v>
      </c>
      <c r="E41">
        <f t="shared" si="0"/>
        <v>2.3724888125125397E-3</v>
      </c>
      <c r="F41">
        <f t="shared" ref="F41:F43" si="10">E41/AVERAGE($E$17:$E$19)</f>
        <v>0.56691003076204949</v>
      </c>
    </row>
    <row r="42" spans="1:6">
      <c r="A42" t="s">
        <v>24</v>
      </c>
      <c r="B42" s="9" t="s">
        <v>25</v>
      </c>
      <c r="C42">
        <v>1929.28</v>
      </c>
      <c r="D42">
        <v>1072030</v>
      </c>
      <c r="E42">
        <f t="shared" si="0"/>
        <v>1.7996511291661615E-3</v>
      </c>
      <c r="F42">
        <f t="shared" si="10"/>
        <v>0.4300295418110231</v>
      </c>
    </row>
    <row r="43" spans="1:6">
      <c r="A43" t="s">
        <v>24</v>
      </c>
      <c r="B43" s="9" t="s">
        <v>25</v>
      </c>
      <c r="C43">
        <v>2744.45</v>
      </c>
      <c r="D43">
        <v>1279070</v>
      </c>
      <c r="E43">
        <f t="shared" si="0"/>
        <v>2.1456605189708144E-3</v>
      </c>
      <c r="F43">
        <f t="shared" si="10"/>
        <v>0.51270904393705341</v>
      </c>
    </row>
    <row r="44" spans="1:6">
      <c r="A44" t="s">
        <v>26</v>
      </c>
      <c r="B44" s="9" t="s">
        <v>25</v>
      </c>
      <c r="C44">
        <v>1571.12</v>
      </c>
      <c r="D44">
        <v>1216530</v>
      </c>
      <c r="E44">
        <f t="shared" si="0"/>
        <v>1.2914765768209579E-3</v>
      </c>
      <c r="F44">
        <f>E44/AVERAGE($E$20:$E$23)</f>
        <v>0.3312352104172161</v>
      </c>
    </row>
    <row r="45" spans="1:6">
      <c r="A45" t="s">
        <v>26</v>
      </c>
      <c r="B45" s="9" t="s">
        <v>25</v>
      </c>
      <c r="C45">
        <v>1820.76</v>
      </c>
      <c r="D45">
        <v>899298</v>
      </c>
      <c r="E45">
        <f t="shared" si="0"/>
        <v>2.0246458904612263E-3</v>
      </c>
      <c r="F45">
        <f t="shared" ref="F45:F47" si="11">E45/AVERAGE($E$20:$E$23)</f>
        <v>0.51927694205502317</v>
      </c>
    </row>
    <row r="46" spans="1:6">
      <c r="A46" t="s">
        <v>26</v>
      </c>
      <c r="B46" s="9" t="s">
        <v>25</v>
      </c>
      <c r="C46">
        <v>1493.8</v>
      </c>
      <c r="D46">
        <v>577775</v>
      </c>
      <c r="E46">
        <f t="shared" si="0"/>
        <v>2.5854355069014753E-3</v>
      </c>
      <c r="F46">
        <f t="shared" si="11"/>
        <v>0.66310708960490583</v>
      </c>
    </row>
    <row r="47" spans="1:6">
      <c r="A47" t="s">
        <v>26</v>
      </c>
      <c r="B47" s="9" t="s">
        <v>25</v>
      </c>
      <c r="C47">
        <v>1037.8499999999999</v>
      </c>
      <c r="D47">
        <v>499643</v>
      </c>
      <c r="E47">
        <f t="shared" si="0"/>
        <v>2.0771831087396399E-3</v>
      </c>
      <c r="F47">
        <f t="shared" si="11"/>
        <v>0.53275157788157601</v>
      </c>
    </row>
    <row r="48" spans="1:6">
      <c r="A48" t="s">
        <v>27</v>
      </c>
      <c r="B48" s="9" t="s">
        <v>25</v>
      </c>
      <c r="C48">
        <v>1033.3499999999999</v>
      </c>
      <c r="D48">
        <v>97180.7</v>
      </c>
      <c r="E48">
        <f t="shared" si="0"/>
        <v>1.0633284180912465E-2</v>
      </c>
      <c r="F48">
        <f>E48/AVERAGE($E$25:$E$27)</f>
        <v>1.6132809388274578</v>
      </c>
    </row>
    <row r="49" spans="1:6">
      <c r="A49" t="s">
        <v>27</v>
      </c>
      <c r="B49" s="9" t="s">
        <v>25</v>
      </c>
      <c r="C49">
        <v>658.42</v>
      </c>
      <c r="D49">
        <v>70818.399999999994</v>
      </c>
      <c r="E49">
        <f t="shared" si="0"/>
        <v>9.2973012663375623E-3</v>
      </c>
      <c r="F49">
        <f t="shared" ref="F49:F51" si="12">E49/AVERAGE($E$25:$E$27)</f>
        <v>1.4105857287669767</v>
      </c>
    </row>
    <row r="50" spans="1:6">
      <c r="A50" t="s">
        <v>27</v>
      </c>
      <c r="B50" s="9" t="s">
        <v>25</v>
      </c>
      <c r="C50">
        <v>539.81399999999996</v>
      </c>
      <c r="D50">
        <v>68416.7</v>
      </c>
      <c r="E50">
        <f t="shared" si="0"/>
        <v>7.8900911619531489E-3</v>
      </c>
      <c r="F50">
        <f t="shared" si="12"/>
        <v>1.197083935745777</v>
      </c>
    </row>
    <row r="51" spans="1:6">
      <c r="A51" t="s">
        <v>27</v>
      </c>
      <c r="B51" s="9" t="s">
        <v>25</v>
      </c>
      <c r="C51">
        <v>729.125</v>
      </c>
      <c r="D51">
        <v>124243</v>
      </c>
      <c r="E51">
        <f t="shared" si="0"/>
        <v>5.8685398774981287E-3</v>
      </c>
      <c r="F51">
        <f t="shared" si="12"/>
        <v>0.89037435302553158</v>
      </c>
    </row>
    <row r="52" spans="1:6">
      <c r="A52" t="s">
        <v>28</v>
      </c>
      <c r="B52" s="9" t="s">
        <v>21</v>
      </c>
      <c r="C52">
        <v>6825.19</v>
      </c>
      <c r="D52">
        <v>785740</v>
      </c>
      <c r="E52">
        <f t="shared" si="0"/>
        <v>8.6863211749433657E-3</v>
      </c>
      <c r="F52">
        <f>E52/AVERAGE($E$4:$E$7)</f>
        <v>0.95339692631255646</v>
      </c>
    </row>
    <row r="53" spans="1:6">
      <c r="A53" t="s">
        <v>28</v>
      </c>
      <c r="B53" s="9" t="s">
        <v>21</v>
      </c>
      <c r="C53">
        <v>3222.89</v>
      </c>
      <c r="D53">
        <v>774319</v>
      </c>
      <c r="E53">
        <f t="shared" si="0"/>
        <v>4.162225129436317E-3</v>
      </c>
      <c r="F53">
        <f t="shared" ref="F53:F56" si="13">E53/AVERAGE($E$4:$E$7)</f>
        <v>0.45683927235759159</v>
      </c>
    </row>
    <row r="54" spans="1:6">
      <c r="A54" t="s">
        <v>28</v>
      </c>
      <c r="B54" s="9" t="s">
        <v>21</v>
      </c>
      <c r="C54">
        <v>5912.64</v>
      </c>
      <c r="D54">
        <v>920596</v>
      </c>
      <c r="E54">
        <f t="shared" si="0"/>
        <v>6.4226218667037442E-3</v>
      </c>
      <c r="F54">
        <f t="shared" si="13"/>
        <v>0.70493685684182494</v>
      </c>
    </row>
    <row r="55" spans="1:6">
      <c r="A55" t="s">
        <v>28</v>
      </c>
      <c r="B55" s="9" t="s">
        <v>21</v>
      </c>
      <c r="C55">
        <v>2567.21</v>
      </c>
      <c r="D55">
        <v>380183</v>
      </c>
      <c r="E55">
        <f t="shared" si="0"/>
        <v>6.752563896860196E-3</v>
      </c>
      <c r="F55">
        <f t="shared" si="13"/>
        <v>0.74115077422722908</v>
      </c>
    </row>
    <row r="56" spans="1:6">
      <c r="A56" t="s">
        <v>29</v>
      </c>
      <c r="B56" s="9" t="s">
        <v>21</v>
      </c>
      <c r="C56">
        <v>4412.82</v>
      </c>
      <c r="D56">
        <v>714366</v>
      </c>
      <c r="E56">
        <f t="shared" si="0"/>
        <v>6.1772536766867402E-3</v>
      </c>
      <c r="F56">
        <f>E56/AVERAGE($E$8:$E$11)</f>
        <v>0.96377931994463717</v>
      </c>
    </row>
    <row r="57" spans="1:6">
      <c r="A57" t="s">
        <v>29</v>
      </c>
      <c r="B57" s="9" t="s">
        <v>21</v>
      </c>
      <c r="C57">
        <v>2652.63</v>
      </c>
      <c r="D57">
        <v>449021</v>
      </c>
      <c r="E57">
        <f t="shared" si="0"/>
        <v>5.9075856140358698E-3</v>
      </c>
      <c r="F57">
        <f t="shared" ref="F57:F60" si="14">E57/AVERAGE($E$8:$E$11)</f>
        <v>0.92170552540171258</v>
      </c>
    </row>
    <row r="58" spans="1:6">
      <c r="A58" t="s">
        <v>29</v>
      </c>
      <c r="B58" s="9" t="s">
        <v>21</v>
      </c>
      <c r="C58">
        <v>1563.61</v>
      </c>
      <c r="D58">
        <v>304254</v>
      </c>
      <c r="E58">
        <f t="shared" si="0"/>
        <v>5.1391600439106792E-3</v>
      </c>
      <c r="F58">
        <f t="shared" si="14"/>
        <v>0.80181524532492698</v>
      </c>
    </row>
    <row r="59" spans="1:6">
      <c r="A59" t="s">
        <v>29</v>
      </c>
      <c r="B59" s="9" t="s">
        <v>21</v>
      </c>
      <c r="C59">
        <v>2856.98</v>
      </c>
      <c r="D59">
        <v>440659</v>
      </c>
      <c r="E59">
        <f t="shared" si="0"/>
        <v>6.4834259597557299E-3</v>
      </c>
      <c r="F59">
        <f t="shared" si="14"/>
        <v>1.0115485277846492</v>
      </c>
    </row>
    <row r="60" spans="1:6">
      <c r="A60" t="s">
        <v>30</v>
      </c>
      <c r="B60" s="9" t="s">
        <v>21</v>
      </c>
      <c r="C60">
        <v>1201.97</v>
      </c>
      <c r="D60">
        <v>154709</v>
      </c>
      <c r="E60">
        <f t="shared" si="0"/>
        <v>7.7692312664421597E-3</v>
      </c>
      <c r="F60">
        <f>E60/AVERAGE($E$13:$E$15)</f>
        <v>0.43266032659968912</v>
      </c>
    </row>
    <row r="61" spans="1:6">
      <c r="A61" t="s">
        <v>30</v>
      </c>
      <c r="B61" s="9" t="s">
        <v>21</v>
      </c>
      <c r="C61">
        <v>1334.38</v>
      </c>
      <c r="D61">
        <v>244236</v>
      </c>
      <c r="E61">
        <f t="shared" si="0"/>
        <v>5.4634861363599147E-3</v>
      </c>
      <c r="F61">
        <f t="shared" ref="F61:F63" si="15">E61/AVERAGE($E$13:$E$15)</f>
        <v>0.30425580280259151</v>
      </c>
    </row>
    <row r="62" spans="1:6">
      <c r="A62" t="s">
        <v>30</v>
      </c>
      <c r="B62" s="9" t="s">
        <v>21</v>
      </c>
      <c r="C62">
        <v>1587.52</v>
      </c>
      <c r="D62">
        <v>219952</v>
      </c>
      <c r="E62">
        <f t="shared" si="0"/>
        <v>7.2175747435804178E-3</v>
      </c>
      <c r="F62">
        <f t="shared" si="15"/>
        <v>0.40193915443132461</v>
      </c>
    </row>
    <row r="63" spans="1:6" s="11" customFormat="1">
      <c r="A63" s="11" t="s">
        <v>30</v>
      </c>
      <c r="B63" s="10" t="s">
        <v>21</v>
      </c>
      <c r="C63" s="11">
        <v>12114.2</v>
      </c>
      <c r="D63" s="11">
        <v>238508</v>
      </c>
      <c r="E63" s="11">
        <f t="shared" si="0"/>
        <v>5.0791587703557114E-2</v>
      </c>
    </row>
    <row r="64" spans="1:6">
      <c r="A64" t="s">
        <v>31</v>
      </c>
      <c r="B64" s="9" t="s">
        <v>25</v>
      </c>
      <c r="C64">
        <v>3996.85</v>
      </c>
      <c r="D64">
        <v>444163</v>
      </c>
      <c r="E64">
        <f t="shared" si="0"/>
        <v>8.9986108703336391E-3</v>
      </c>
      <c r="F64">
        <f>E64/AVERAGE($E$4:$E$7)</f>
        <v>0.98767335124639655</v>
      </c>
    </row>
    <row r="65" spans="1:6">
      <c r="A65" t="s">
        <v>31</v>
      </c>
      <c r="B65" s="9" t="s">
        <v>25</v>
      </c>
      <c r="C65">
        <v>2159.12</v>
      </c>
      <c r="D65">
        <v>174809</v>
      </c>
      <c r="E65">
        <f t="shared" si="0"/>
        <v>1.2351309143121922E-2</v>
      </c>
      <c r="F65">
        <f t="shared" ref="F65:F67" si="16">E65/AVERAGE($E$4:$E$7)</f>
        <v>1.3556602312791401</v>
      </c>
    </row>
    <row r="66" spans="1:6">
      <c r="A66" t="s">
        <v>31</v>
      </c>
      <c r="B66" s="9" t="s">
        <v>25</v>
      </c>
      <c r="C66">
        <v>1287.28</v>
      </c>
      <c r="D66">
        <v>125818</v>
      </c>
      <c r="E66">
        <f t="shared" si="0"/>
        <v>1.023128646139662E-2</v>
      </c>
      <c r="F66">
        <f t="shared" si="16"/>
        <v>1.1229698819629943</v>
      </c>
    </row>
    <row r="67" spans="1:6">
      <c r="A67" t="s">
        <v>31</v>
      </c>
      <c r="B67" s="9" t="s">
        <v>25</v>
      </c>
      <c r="C67">
        <v>1993.19</v>
      </c>
      <c r="D67">
        <v>151514</v>
      </c>
      <c r="E67">
        <f t="shared" si="0"/>
        <v>1.3155153979170242E-2</v>
      </c>
      <c r="F67">
        <f t="shared" si="16"/>
        <v>1.4438889739753469</v>
      </c>
    </row>
    <row r="68" spans="1:6">
      <c r="A68" t="s">
        <v>32</v>
      </c>
      <c r="B68" s="9" t="s">
        <v>25</v>
      </c>
      <c r="C68">
        <v>804.93</v>
      </c>
      <c r="D68">
        <v>161716</v>
      </c>
      <c r="E68">
        <f t="shared" si="0"/>
        <v>4.9774295678844394E-3</v>
      </c>
      <c r="F68">
        <f>E68/AVERAGE($E$8:$E$11)</f>
        <v>0.77658194645828627</v>
      </c>
    </row>
    <row r="69" spans="1:6">
      <c r="A69" t="s">
        <v>32</v>
      </c>
      <c r="B69" s="9" t="s">
        <v>25</v>
      </c>
      <c r="C69">
        <v>1529.91</v>
      </c>
      <c r="D69">
        <v>219451</v>
      </c>
      <c r="E69">
        <f t="shared" ref="E69:E99" si="17">C69/D69</f>
        <v>6.9715335086192364E-3</v>
      </c>
      <c r="F69">
        <f t="shared" ref="F69:F71" si="18">E69/AVERAGE($E$8:$E$11)</f>
        <v>1.0877033995327421</v>
      </c>
    </row>
    <row r="70" spans="1:6">
      <c r="A70" t="s">
        <v>32</v>
      </c>
      <c r="B70" s="9" t="s">
        <v>25</v>
      </c>
      <c r="C70">
        <v>1598.62</v>
      </c>
      <c r="D70">
        <v>165498</v>
      </c>
      <c r="E70">
        <f t="shared" si="17"/>
        <v>9.6594520779707295E-3</v>
      </c>
      <c r="F70">
        <f t="shared" si="18"/>
        <v>1.5070742828450217</v>
      </c>
    </row>
    <row r="71" spans="1:6">
      <c r="A71" t="s">
        <v>32</v>
      </c>
      <c r="B71" s="9" t="s">
        <v>25</v>
      </c>
      <c r="C71">
        <v>1428.8</v>
      </c>
      <c r="D71">
        <v>119917</v>
      </c>
      <c r="E71">
        <f t="shared" si="17"/>
        <v>1.1914907811236105E-2</v>
      </c>
      <c r="F71">
        <f t="shared" si="18"/>
        <v>1.8589720203421265</v>
      </c>
    </row>
    <row r="72" spans="1:6">
      <c r="A72" t="s">
        <v>33</v>
      </c>
      <c r="B72" s="9" t="s">
        <v>25</v>
      </c>
      <c r="C72">
        <v>447.90899999999999</v>
      </c>
      <c r="D72">
        <v>52364.7</v>
      </c>
      <c r="E72">
        <f t="shared" si="17"/>
        <v>8.5536439624403458E-3</v>
      </c>
      <c r="F72">
        <f>E72/AVERAGE($E$13:$E$15)</f>
        <v>0.47634344550817481</v>
      </c>
    </row>
    <row r="73" spans="1:6">
      <c r="A73" t="s">
        <v>33</v>
      </c>
      <c r="B73" s="9" t="s">
        <v>25</v>
      </c>
      <c r="C73">
        <v>1720.74</v>
      </c>
      <c r="D73">
        <v>67787.100000000006</v>
      </c>
      <c r="E73">
        <f t="shared" si="17"/>
        <v>2.5384475807343872E-2</v>
      </c>
      <c r="F73">
        <f t="shared" ref="F73:F75" si="19">E73/AVERAGE($E$13:$E$15)</f>
        <v>1.4136347878851074</v>
      </c>
    </row>
    <row r="74" spans="1:6">
      <c r="A74" t="s">
        <v>33</v>
      </c>
      <c r="B74" s="9" t="s">
        <v>25</v>
      </c>
      <c r="C74">
        <v>3061.44</v>
      </c>
      <c r="D74">
        <v>228278</v>
      </c>
      <c r="E74">
        <f t="shared" si="17"/>
        <v>1.3411016392293607E-2</v>
      </c>
      <c r="F74">
        <f t="shared" si="19"/>
        <v>0.74684541279985517</v>
      </c>
    </row>
    <row r="75" spans="1:6">
      <c r="A75" t="s">
        <v>33</v>
      </c>
      <c r="B75" s="9" t="s">
        <v>25</v>
      </c>
      <c r="C75">
        <v>615.71799999999996</v>
      </c>
      <c r="D75">
        <v>27998.7</v>
      </c>
      <c r="E75">
        <f t="shared" si="17"/>
        <v>2.1990949579801918E-2</v>
      </c>
      <c r="F75">
        <f t="shared" si="19"/>
        <v>1.2246528776316776</v>
      </c>
    </row>
    <row r="76" spans="1:6">
      <c r="A76" t="s">
        <v>34</v>
      </c>
      <c r="B76" s="9" t="s">
        <v>21</v>
      </c>
      <c r="C76">
        <v>18315.599999999999</v>
      </c>
      <c r="D76">
        <v>603050</v>
      </c>
      <c r="E76">
        <f t="shared" si="17"/>
        <v>3.0371610977530883E-2</v>
      </c>
      <c r="F76">
        <f>E76/AVERAGE($E$17:$E$19)</f>
        <v>7.2573454604958343</v>
      </c>
    </row>
    <row r="77" spans="1:6">
      <c r="A77" t="s">
        <v>34</v>
      </c>
      <c r="B77" s="9" t="s">
        <v>21</v>
      </c>
      <c r="C77">
        <v>14916</v>
      </c>
      <c r="D77">
        <v>777467</v>
      </c>
      <c r="E77">
        <f t="shared" si="17"/>
        <v>1.9185380215494676E-2</v>
      </c>
      <c r="F77">
        <f t="shared" ref="F77:F79" si="20">E77/AVERAGE($E$17:$E$19)</f>
        <v>4.5843775662019972</v>
      </c>
    </row>
    <row r="78" spans="1:6">
      <c r="A78" t="s">
        <v>34</v>
      </c>
      <c r="B78" s="9" t="s">
        <v>21</v>
      </c>
      <c r="C78">
        <v>20770.7</v>
      </c>
      <c r="D78">
        <v>914398</v>
      </c>
      <c r="E78">
        <f t="shared" si="17"/>
        <v>2.2715163418992605E-2</v>
      </c>
      <c r="F78">
        <f t="shared" si="20"/>
        <v>5.4278249594730239</v>
      </c>
    </row>
    <row r="79" spans="1:6">
      <c r="A79" t="s">
        <v>34</v>
      </c>
      <c r="B79" s="9" t="s">
        <v>21</v>
      </c>
      <c r="C79">
        <v>19056.5</v>
      </c>
      <c r="D79">
        <v>867173</v>
      </c>
      <c r="E79">
        <f t="shared" si="17"/>
        <v>2.1975430508099306E-2</v>
      </c>
      <c r="F79">
        <f t="shared" si="20"/>
        <v>5.2510645865437615</v>
      </c>
    </row>
    <row r="80" spans="1:6">
      <c r="A80" t="s">
        <v>35</v>
      </c>
      <c r="B80" s="9" t="s">
        <v>21</v>
      </c>
      <c r="C80">
        <v>3060.04</v>
      </c>
      <c r="D80">
        <v>699918</v>
      </c>
      <c r="E80">
        <f t="shared" si="17"/>
        <v>4.3719978626067628E-3</v>
      </c>
      <c r="F80">
        <f>E80/AVERAGE($E$20:$E$23)</f>
        <v>1.1213208647801391</v>
      </c>
    </row>
    <row r="81" spans="1:6">
      <c r="A81" t="s">
        <v>35</v>
      </c>
      <c r="B81" s="9" t="s">
        <v>21</v>
      </c>
      <c r="C81">
        <v>8948.4599999999991</v>
      </c>
      <c r="D81">
        <v>1543300</v>
      </c>
      <c r="E81">
        <f t="shared" si="17"/>
        <v>5.798263461413853E-3</v>
      </c>
      <c r="F81">
        <f t="shared" ref="F81:F83" si="21">E81/AVERAGE($E$20:$E$23)</f>
        <v>1.4871264815530074</v>
      </c>
    </row>
    <row r="82" spans="1:6">
      <c r="A82" t="s">
        <v>35</v>
      </c>
      <c r="B82" s="9" t="s">
        <v>21</v>
      </c>
      <c r="C82">
        <v>3097.45</v>
      </c>
      <c r="D82">
        <v>340809</v>
      </c>
      <c r="E82">
        <f t="shared" si="17"/>
        <v>9.0885217233112967E-3</v>
      </c>
      <c r="F82">
        <f t="shared" si="21"/>
        <v>2.3310050367408288</v>
      </c>
    </row>
    <row r="83" spans="1:6">
      <c r="A83" t="s">
        <v>35</v>
      </c>
      <c r="B83" s="9" t="s">
        <v>21</v>
      </c>
      <c r="C83">
        <v>3763.47</v>
      </c>
      <c r="D83">
        <v>483175</v>
      </c>
      <c r="E83">
        <f t="shared" si="17"/>
        <v>7.7890412376468146E-3</v>
      </c>
      <c r="F83">
        <f t="shared" si="21"/>
        <v>1.9977170005290708</v>
      </c>
    </row>
    <row r="84" spans="1:6">
      <c r="A84" t="s">
        <v>36</v>
      </c>
      <c r="B84" s="9" t="s">
        <v>21</v>
      </c>
      <c r="C84">
        <v>838.53300000000002</v>
      </c>
      <c r="D84">
        <v>205117</v>
      </c>
      <c r="E84">
        <f t="shared" si="17"/>
        <v>4.0880716859158436E-3</v>
      </c>
      <c r="F84">
        <f>E84/AVERAGE($E$25:$E$27)</f>
        <v>0.6202418759095284</v>
      </c>
    </row>
    <row r="85" spans="1:6">
      <c r="A85" t="s">
        <v>36</v>
      </c>
      <c r="B85" s="9" t="s">
        <v>21</v>
      </c>
      <c r="C85">
        <v>1010.15</v>
      </c>
      <c r="D85">
        <v>368709</v>
      </c>
      <c r="E85">
        <f t="shared" si="17"/>
        <v>2.739694447382624E-3</v>
      </c>
      <c r="F85">
        <f t="shared" ref="F85:F87" si="22">E85/AVERAGE($E$25:$E$27)</f>
        <v>0.41566620011039074</v>
      </c>
    </row>
    <row r="86" spans="1:6">
      <c r="A86" t="s">
        <v>36</v>
      </c>
      <c r="B86" s="9" t="s">
        <v>21</v>
      </c>
      <c r="C86">
        <v>1160.26</v>
      </c>
      <c r="D86">
        <v>291157</v>
      </c>
      <c r="E86">
        <f t="shared" si="17"/>
        <v>3.9849977847003504E-3</v>
      </c>
      <c r="F86">
        <f t="shared" si="22"/>
        <v>0.6046035127009125</v>
      </c>
    </row>
    <row r="87" spans="1:6">
      <c r="A87" t="s">
        <v>36</v>
      </c>
      <c r="B87" s="9" t="s">
        <v>21</v>
      </c>
      <c r="C87">
        <v>1309.18</v>
      </c>
      <c r="D87">
        <v>238482</v>
      </c>
      <c r="E87">
        <f t="shared" si="17"/>
        <v>5.489638631007791E-3</v>
      </c>
      <c r="F87">
        <f t="shared" si="22"/>
        <v>0.83288748930020118</v>
      </c>
    </row>
    <row r="88" spans="1:6">
      <c r="A88" t="s">
        <v>37</v>
      </c>
      <c r="B88" s="9" t="s">
        <v>25</v>
      </c>
      <c r="C88">
        <v>40719.199999999997</v>
      </c>
      <c r="D88">
        <v>1142680</v>
      </c>
      <c r="E88">
        <f t="shared" si="17"/>
        <v>3.5634823397626629E-2</v>
      </c>
      <c r="F88">
        <f>E88/AVERAGE($E$17:$E$19)</f>
        <v>8.5149985626926696</v>
      </c>
    </row>
    <row r="89" spans="1:6">
      <c r="A89" t="s">
        <v>37</v>
      </c>
      <c r="B89" s="9" t="s">
        <v>25</v>
      </c>
      <c r="C89">
        <v>106517</v>
      </c>
      <c r="D89">
        <v>1903360</v>
      </c>
      <c r="E89">
        <f t="shared" si="17"/>
        <v>5.5962613483523875E-2</v>
      </c>
      <c r="F89">
        <f t="shared" ref="F89:F91" si="23">E89/AVERAGE($E$17:$E$19)</f>
        <v>13.372356811187922</v>
      </c>
    </row>
    <row r="90" spans="1:6">
      <c r="A90" t="s">
        <v>37</v>
      </c>
      <c r="B90" s="9" t="s">
        <v>25</v>
      </c>
      <c r="C90">
        <v>107871</v>
      </c>
      <c r="D90">
        <v>2600100</v>
      </c>
      <c r="E90">
        <f t="shared" si="17"/>
        <v>4.1487250490365758E-2</v>
      </c>
      <c r="F90">
        <f t="shared" si="23"/>
        <v>9.9134454618642351</v>
      </c>
    </row>
    <row r="91" spans="1:6">
      <c r="A91" t="s">
        <v>37</v>
      </c>
      <c r="B91" s="9" t="s">
        <v>25</v>
      </c>
      <c r="C91">
        <v>84291.9</v>
      </c>
      <c r="D91">
        <v>2151940</v>
      </c>
      <c r="E91">
        <f t="shared" si="17"/>
        <v>3.9170190618697545E-2</v>
      </c>
      <c r="F91">
        <f t="shared" si="23"/>
        <v>9.3597802659749316</v>
      </c>
    </row>
    <row r="92" spans="1:6">
      <c r="A92" t="s">
        <v>38</v>
      </c>
      <c r="B92" s="9" t="s">
        <v>25</v>
      </c>
      <c r="C92">
        <v>18447</v>
      </c>
      <c r="D92">
        <v>656992</v>
      </c>
      <c r="E92">
        <f t="shared" si="17"/>
        <v>2.8077967463835177E-2</v>
      </c>
      <c r="F92">
        <f>E92/AVERAGE($E$20:$E$23)</f>
        <v>7.2013783508677163</v>
      </c>
    </row>
    <row r="93" spans="1:6">
      <c r="A93" t="s">
        <v>38</v>
      </c>
      <c r="B93" s="9" t="s">
        <v>25</v>
      </c>
      <c r="C93">
        <v>18744.5</v>
      </c>
      <c r="D93">
        <v>539035</v>
      </c>
      <c r="E93">
        <f t="shared" si="17"/>
        <v>3.4774179784244068E-2</v>
      </c>
      <c r="F93">
        <f t="shared" ref="F93:F95" si="24">E93/AVERAGE($E$20:$E$23)</f>
        <v>8.9188088771020961</v>
      </c>
    </row>
    <row r="94" spans="1:6">
      <c r="A94" t="s">
        <v>38</v>
      </c>
      <c r="B94" s="9" t="s">
        <v>25</v>
      </c>
      <c r="C94">
        <v>18738</v>
      </c>
      <c r="D94">
        <v>400102</v>
      </c>
      <c r="E94">
        <f t="shared" si="17"/>
        <v>4.6833057570319567E-2</v>
      </c>
      <c r="F94">
        <f t="shared" si="24"/>
        <v>12.011644622291115</v>
      </c>
    </row>
    <row r="95" spans="1:6" s="11" customFormat="1">
      <c r="A95" s="11" t="s">
        <v>38</v>
      </c>
      <c r="B95" s="10" t="s">
        <v>25</v>
      </c>
      <c r="C95" s="11">
        <v>25143.8</v>
      </c>
      <c r="D95" s="11">
        <v>896452</v>
      </c>
      <c r="E95" s="11">
        <f t="shared" si="17"/>
        <v>2.804812750710579E-2</v>
      </c>
    </row>
    <row r="96" spans="1:6">
      <c r="A96" t="s">
        <v>39</v>
      </c>
      <c r="B96" s="9" t="s">
        <v>25</v>
      </c>
      <c r="C96">
        <v>18173.2</v>
      </c>
      <c r="D96">
        <v>114875</v>
      </c>
      <c r="E96">
        <f t="shared" si="17"/>
        <v>0.15819978237214363</v>
      </c>
      <c r="F96">
        <f>E96/AVERAGE($E$25:$E$27)</f>
        <v>24.002057039514799</v>
      </c>
    </row>
    <row r="97" spans="1:6">
      <c r="A97" t="s">
        <v>39</v>
      </c>
      <c r="B97" s="9" t="s">
        <v>25</v>
      </c>
      <c r="C97">
        <v>13985.2</v>
      </c>
      <c r="D97">
        <v>232511</v>
      </c>
      <c r="E97">
        <f t="shared" si="17"/>
        <v>6.0148552111513008E-2</v>
      </c>
      <c r="F97">
        <f t="shared" ref="F97:F99" si="25">E97/AVERAGE($E$25:$E$27)</f>
        <v>9.1257330255276852</v>
      </c>
    </row>
    <row r="98" spans="1:6">
      <c r="A98" t="s">
        <v>39</v>
      </c>
      <c r="B98" s="9" t="s">
        <v>25</v>
      </c>
      <c r="C98">
        <v>15429</v>
      </c>
      <c r="D98">
        <v>103394</v>
      </c>
      <c r="E98">
        <f t="shared" si="17"/>
        <v>0.1492252935373426</v>
      </c>
      <c r="F98">
        <f t="shared" si="25"/>
        <v>22.64044838441141</v>
      </c>
    </row>
    <row r="99" spans="1:6">
      <c r="A99" t="s">
        <v>39</v>
      </c>
      <c r="B99" s="9" t="s">
        <v>25</v>
      </c>
      <c r="C99">
        <v>16511.599999999999</v>
      </c>
      <c r="D99">
        <v>129907</v>
      </c>
      <c r="E99">
        <f t="shared" si="17"/>
        <v>0.12710323539147236</v>
      </c>
      <c r="F99">
        <f t="shared" si="25"/>
        <v>19.284091672114592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Nagy, Dorka</cp:lastModifiedBy>
  <cp:revision/>
  <dcterms:created xsi:type="dcterms:W3CDTF">2023-09-22T08:37:39Z</dcterms:created>
  <dcterms:modified xsi:type="dcterms:W3CDTF">2023-09-22T09:28:58Z</dcterms:modified>
  <cp:category/>
  <cp:contentStatus/>
</cp:coreProperties>
</file>