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CRE files" sheetId="1" state="visible" r:id="rId3"/>
    <sheet name="Notes" sheetId="2" state="visible" r:id="rId4"/>
  </sheets>
  <definedNames>
    <definedName function="false" hidden="true" localSheetId="0" name="_xlnm._FilterDatabase" vbProcedure="false">'cCRE files'!$A$1:$O$19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<sst xmlns="http://schemas.openxmlformats.org/spreadsheetml/2006/main" count="254" uniqueCount="155">
  <si>
    <t xml:space="preserve">#</t>
  </si>
  <si>
    <t xml:space="preserve">chr12q file</t>
  </si>
  <si>
    <t xml:space="preserve">ENCODE file accession(s)</t>
  </si>
  <si>
    <t xml:space="preserve">n accessions</t>
  </si>
  <si>
    <t xml:space="preserve">Assay coverage</t>
  </si>
  <si>
    <t xml:space="preserve">Completeness flag (col 11)</t>
  </si>
  <si>
    <t xml:space="preserve">Biosample</t>
  </si>
  <si>
    <t xml:space="preserve">Group (provenance)</t>
  </si>
  <si>
    <t xml:space="preserve">Biosample category</t>
  </si>
  <si>
    <t xml:space="preserve">Elements (12q)</t>
  </si>
  <si>
    <t xml:space="preserve">cCRE-active (12q)</t>
  </si>
  <si>
    <t xml:space="preserve">High-mark (12q)</t>
  </si>
  <si>
    <t xml:space="preserve">Class counts on 12q</t>
  </si>
  <si>
    <t xml:space="preserve">rs11183620 call</t>
  </si>
  <si>
    <t xml:space="preserve">rs4994910 call</t>
  </si>
  <si>
    <t xml:space="preserve">ENCODE lookup</t>
  </si>
  <si>
    <t xml:space="preserve">ENCFF020EPF_ENCFF917LFF_ENCFF764VSN_ENCFF005YBS.chr12q.bed</t>
  </si>
  <si>
    <t xml:space="preserve">ENCFF020EPF, ENCFF917LFF, ENCFF764VSN, ENCFF005YBS</t>
  </si>
  <si>
    <t xml:space="preserve">FULL (DNase+H3K4me3+H3K27ac+CTCF)</t>
  </si>
  <si>
    <t xml:space="preserve">All-data/Full-classification</t>
  </si>
  <si>
    <t xml:space="preserve">right lobe of liver</t>
  </si>
  <si>
    <t xml:space="preserve">primary</t>
  </si>
  <si>
    <t xml:space="preserve">liver_tissue</t>
  </si>
  <si>
    <t xml:space="preserve">Low-DNase=81789; dELS=887; pELS=703; PLS=646; CA-only=284; CA-CTCF=271; CA-H3K4me3=76</t>
  </si>
  <si>
    <t xml:space="preserve">no cCRE</t>
  </si>
  <si>
    <t xml:space="preserve">Low-DNase</t>
  </si>
  <si>
    <t xml:space="preserve">https://www.encodeproject.org/files/ENCFF020EPF/</t>
  </si>
  <si>
    <t xml:space="preserve">ENCFF053IVC_ENCFF275OLK.chr12q.bed</t>
  </si>
  <si>
    <t xml:space="preserve">ENCFF053IVC, ENCFF275OLK</t>
  </si>
  <si>
    <t xml:space="preserve">Marks only (no DNase)</t>
  </si>
  <si>
    <t xml:space="preserve">Missing-data/Partial-classification</t>
  </si>
  <si>
    <t xml:space="preserve">liver tissue</t>
  </si>
  <si>
    <t xml:space="preserve">Unclassified=75240; High-H3K4me3,High-H3K27ac=3943; High-H3K27ac=3374; High-H3K4me3=2099</t>
  </si>
  <si>
    <t xml:space="preserve">High-H3K4me3,High-H3K27ac</t>
  </si>
  <si>
    <t xml:space="preserve">https://www.encodeproject.org/files/ENCFF053IVC/</t>
  </si>
  <si>
    <t xml:space="preserve">ENCFF082KAC.chr12q.bed</t>
  </si>
  <si>
    <t xml:space="preserve">ENCFF082KAC</t>
  </si>
  <si>
    <t xml:space="preserve">DNase only</t>
  </si>
  <si>
    <t xml:space="preserve">Low-DNase=81519; CA-only=3137</t>
  </si>
  <si>
    <t xml:space="preserve">CA-only</t>
  </si>
  <si>
    <t xml:space="preserve">https://www.encodeproject.org/files/ENCFF082KAC/</t>
  </si>
  <si>
    <t xml:space="preserve">ENCFF280QYJ_ENCFF853WPX.chr12q.bed</t>
  </si>
  <si>
    <t xml:space="preserve">ENCFF280QYJ, ENCFF853WPX</t>
  </si>
  <si>
    <t xml:space="preserve">Unclassified=76012; High-H3K27ac=3729; High-H3K4me3,High-H3K27ac=3574; High-H3K4me3=1341</t>
  </si>
  <si>
    <t xml:space="preserve">https://www.encodeproject.org/files/ENCFF280QYJ/</t>
  </si>
  <si>
    <t xml:space="preserve">ENCFF321UXJ.chr12q.bed</t>
  </si>
  <si>
    <t xml:space="preserve">ENCFF321UXJ</t>
  </si>
  <si>
    <t xml:space="preserve">Low-DNase=81777; CA-only=2879</t>
  </si>
  <si>
    <t xml:space="preserve">https://www.encodeproject.org/files/ENCFF321UXJ/</t>
  </si>
  <si>
    <t xml:space="preserve">ENCFF412PVV.chr12q.bed</t>
  </si>
  <si>
    <t xml:space="preserve">ENCFF412PVV</t>
  </si>
  <si>
    <t xml:space="preserve">left lobe of liver</t>
  </si>
  <si>
    <t xml:space="preserve">Low-DNase=81520; CA-only=3136</t>
  </si>
  <si>
    <t xml:space="preserve">https://www.encodeproject.org/files/ENCFF412PVV/</t>
  </si>
  <si>
    <t xml:space="preserve">ENCFF466DQD.chr12q.bed</t>
  </si>
  <si>
    <t xml:space="preserve">ENCFF466DQD</t>
  </si>
  <si>
    <t xml:space="preserve">Low-DNase=82399; CA-only=2257</t>
  </si>
  <si>
    <t xml:space="preserve">https://www.encodeproject.org/files/ENCFF466DQD/</t>
  </si>
  <si>
    <t xml:space="preserve">ENCFF471TIS_ENCFF218ECO.chr12q.bed</t>
  </si>
  <si>
    <t xml:space="preserve">ENCFF471TIS, ENCFF218ECO</t>
  </si>
  <si>
    <t xml:space="preserve">Unclassified=75599; High-H3K4me3,High-H3K27ac=3705; High-H3K27ac=3440; High-H3K4me3=1912</t>
  </si>
  <si>
    <t xml:space="preserve">https://www.encodeproject.org/files/ENCFF471TIS/</t>
  </si>
  <si>
    <t xml:space="preserve">ENCFF546MZK_ENCFF732PJK_ENCFF795ONN_ENCFF357NFO.chr12q.bed</t>
  </si>
  <si>
    <t xml:space="preserve">ENCFF546MZK, ENCFF732PJK, ENCFF795ONN, ENCFF357NFO</t>
  </si>
  <si>
    <t xml:space="preserve">HepG2</t>
  </si>
  <si>
    <t xml:space="preserve">cell_line</t>
  </si>
  <si>
    <t xml:space="preserve">hepatoma_line</t>
  </si>
  <si>
    <t xml:space="preserve">Low-DNase=80615; dELS=968; pELS=749; CA-CTCF=722; CA-TF=704; PLS=639; CA-H3K4me3=228; CA-only=31</t>
  </si>
  <si>
    <t xml:space="preserve">https://www.encodeproject.org/files/ENCFF546MZK/</t>
  </si>
  <si>
    <t xml:space="preserve">ENCFF578WNN.chr12q.bed</t>
  </si>
  <si>
    <t xml:space="preserve">ENCFF578WNN</t>
  </si>
  <si>
    <t xml:space="preserve">HuH-7</t>
  </si>
  <si>
    <t xml:space="preserve">Low-DNase=80488; CA-only=4168</t>
  </si>
  <si>
    <t xml:space="preserve">https://www.encodeproject.org/files/ENCFF578WNN/</t>
  </si>
  <si>
    <t xml:space="preserve">ENCFF606YDZ.chr12q.bed</t>
  </si>
  <si>
    <t xml:space="preserve">ENCFF606YDZ</t>
  </si>
  <si>
    <t xml:space="preserve">Low-DNase=81492; CA-only=3164</t>
  </si>
  <si>
    <t xml:space="preserve">https://www.encodeproject.org/files/ENCFF606YDZ/</t>
  </si>
  <si>
    <t xml:space="preserve">ENCFF634BMR.chr12q.bed</t>
  </si>
  <si>
    <t xml:space="preserve">ENCFF634BMR</t>
  </si>
  <si>
    <t xml:space="preserve">Low-DNase=81241; CA-only=3415</t>
  </si>
  <si>
    <t xml:space="preserve">https://www.encodeproject.org/files/ENCFF634BMR/</t>
  </si>
  <si>
    <t xml:space="preserve">ENCFF693PZG.chr12q.bed</t>
  </si>
  <si>
    <t xml:space="preserve">ENCFF693PZG</t>
  </si>
  <si>
    <t xml:space="preserve">Huh7.5</t>
  </si>
  <si>
    <t xml:space="preserve">Low-DNase=80543; CA-only=4113</t>
  </si>
  <si>
    <t xml:space="preserve">https://www.encodeproject.org/files/ENCFF693PZG/</t>
  </si>
  <si>
    <t xml:space="preserve">ENCFF725LBV.chr12q.bed</t>
  </si>
  <si>
    <t xml:space="preserve">ENCFF725LBV</t>
  </si>
  <si>
    <t xml:space="preserve">Unclassified=82537; High-CTCF=2119</t>
  </si>
  <si>
    <t xml:space="preserve">Unclassified</t>
  </si>
  <si>
    <t xml:space="preserve">https://www.encodeproject.org/files/ENCFF725LBV/</t>
  </si>
  <si>
    <t xml:space="preserve">ENCFF749WFL.chr12q.bed</t>
  </si>
  <si>
    <t xml:space="preserve">ENCFF749WFL</t>
  </si>
  <si>
    <t xml:space="preserve">Low-DNase=82964; CA-only=1692</t>
  </si>
  <si>
    <t xml:space="preserve">https://www.encodeproject.org/files/ENCFF749WFL/</t>
  </si>
  <si>
    <t xml:space="preserve">ENCFF826YPV.chr12q.bed</t>
  </si>
  <si>
    <t xml:space="preserve">ENCFF826YPV</t>
  </si>
  <si>
    <t xml:space="preserve">hepatocyte</t>
  </si>
  <si>
    <t xml:space="preserve">primary_hepatocyte</t>
  </si>
  <si>
    <t xml:space="preserve">Low-DNase=80268; CA-only=4388</t>
  </si>
  <si>
    <t xml:space="preserve">https://www.encodeproject.org/files/ENCFF826YPV/</t>
  </si>
  <si>
    <t xml:space="preserve">ENCFF902EEH_ENCFF137IUT_ENCFF347LDC_ENCFF491FMJ.chr12q.bed</t>
  </si>
  <si>
    <t xml:space="preserve">ENCFF902EEH, ENCFF137IUT, ENCFF347LDC, ENCFF491FMJ</t>
  </si>
  <si>
    <t xml:space="preserve">hepatocyte originated from H9</t>
  </si>
  <si>
    <t xml:space="preserve">in_vitro_differentiated</t>
  </si>
  <si>
    <t xml:space="preserve">sc_derived_hepatocyte</t>
  </si>
  <si>
    <t xml:space="preserve">Low-DNase=78813; pELS=1440; dELS=1247; CA-only=978; PLS=903; CA-CTCF=895; CA-H3K4me3=340; CA-TF=40</t>
  </si>
  <si>
    <t xml:space="preserve">CA-H3K4me3</t>
  </si>
  <si>
    <t xml:space="preserve">https://www.encodeproject.org/files/ENCFF902EEH/</t>
  </si>
  <si>
    <t xml:space="preserve">ENCFF962JEC.chr12q.bed</t>
  </si>
  <si>
    <t xml:space="preserve">ENCFF962JEC</t>
  </si>
  <si>
    <t xml:space="preserve">Unclassified=79396; High-H3K4me3=5260</t>
  </si>
  <si>
    <t xml:space="preserve">High-H3K4me3</t>
  </si>
  <si>
    <t xml:space="preserve">https://www.encodeproject.org/files/ENCFF962JEC/</t>
  </si>
  <si>
    <t xml:space="preserve">TOTAL</t>
  </si>
  <si>
    <t xml:space="preserve">Liver cCRE per-biosample files — ENCODE Registry of cCREs V4</t>
  </si>
  <si>
    <t xml:space="preserve">Source: SCREEN, https://screen.wenglab.org/downloads. Downloaded 30 July 2026.</t>
  </si>
  <si>
    <t xml:space="preserve">Registry V4 reference: Nature 2026, doi:10.1038/s41586-025-09909-9</t>
  </si>
  <si>
    <t xml:space="preserve">BIOSAMPLE CATEGORIES (column I)</t>
  </si>
  <si>
    <t xml:space="preserve">  'liver tissue', 'right lobe of liver' and 'left lobe of liver' all denote bulk liver and are</t>
  </si>
  <si>
    <t xml:space="preserve">  grouped as liver_tissue (13 files). Other categories: primary_hepatocyte (1),</t>
  </si>
  <si>
    <t xml:space="preserve">  sc_derived_hepatocyte (1, H9-derived — note H9 is an EMBRYONIC stem cell line, not iPSC),</t>
  </si>
  <si>
    <t xml:space="preserve">  hepatoma_line (3: HepG2, HuH-7, Huh7.5). Counts are per FILE, since several files share a label.</t>
  </si>
  <si>
    <t xml:space="preserve">BIOSAMPLE SET</t>
  </si>
  <si>
    <t xml:space="preserve">21 liver biosamples have cCRE files; 3 were excluded as not hepatocyte-lineage (a hepatic</t>
  </si>
  <si>
    <t xml:space="preserve">stellate cell preparation, female adult 59 years, and two others), leaving the 18 here.</t>
  </si>
  <si>
    <t xml:space="preserve">THREE ASSAY COVERAGE TYPES — these are not interchangeable</t>
  </si>
  <si>
    <t xml:space="preserve">  FULL (3 files, 4 accessions)  DNase + H3K4me3 + H3K27ac + CTCF. Only these can return</t>
  </si>
  <si>
    <t xml:space="preserve">        the full cCRE vocabulary: PLS, pELS, dELS, CA-CTCF, CA-TF, CA-only, CA-H3K4me3.</t>
  </si>
  <si>
    <t xml:space="preserve">  DNase only (10 files)         Classes limited to CA-only or Low-DNase. Accessibility can</t>
  </si>
  <si>
    <t xml:space="preserve">        be assessed; promoter/enhancer status cannot.</t>
  </si>
  <si>
    <t xml:space="preserve">  Marks only (5 files)          No DNase, so no cCRE classification at all. Vocabulary is</t>
  </si>
  <si>
    <t xml:space="preserve">        High-H3K4me3 / High-H3K27ac / High-CTCF / Unclassified.</t>
  </si>
  <si>
    <t xml:space="preserve">DEFINITION OF ACTIVE — use an explicit allowlist, not 'anything except Low-DNase'</t>
  </si>
  <si>
    <t xml:space="preserve">  cCRE-active:  PLS, pELS, dELS, CA-CTCF, CA-TF, CA-only, CA-H3K4me3</t>
  </si>
  <si>
    <t xml:space="preserve">  High-mark:    any class beginning 'High-' (marks-only biosamples; supporting evidence,</t>
  </si>
  <si>
    <t xml:space="preserve">                not a cCRE class, and not comparable to the above)</t>
  </si>
  <si>
    <t xml:space="preserve">  Not active:   Low-DNase, Unclassified</t>
  </si>
  <si>
    <t xml:space="preserve">A 'not Low-DNase' rule would mark all 84,656 elements active in the five marks-only files,</t>
  </si>
  <si>
    <t xml:space="preserve">because their vocabulary contains no Low-DNase at all.</t>
  </si>
  <si>
    <t xml:space="preserve">CHROMOSOME ARM SUBSET</t>
  </si>
  <si>
    <t xml:space="preserve">SLC38A4 is at chr12:~46.8 Mb (GRCh38), on the long arm. Files retain chr12 rows with</t>
  </si>
  <si>
    <t xml:space="preserve">end &gt; 37,200,000 (GRCh38 chr12 centromere ends ~37.2 Mb). The locus lies 9.6 Mb distal to</t>
  </si>
  <si>
    <t xml:space="preserve">that boundary, so its precise value does not affect the result. 84,656 elements per file.</t>
  </si>
  <si>
    <t xml:space="preserve">The full-genome downloads (5.3 GB) were deleted after subsetting; they are re-downloadable</t>
  </si>
  <si>
    <t xml:space="preserve">from the SCREEN URL above. The two aggregate files (liver.all / liver.noccl) were retained.</t>
  </si>
  <si>
    <t xml:space="preserve">WHAT THE VARIANT COLUMNS SHOW</t>
  </si>
  <si>
    <t xml:space="preserve">rs11183620 (lead GWAS variant at the locus): overlaps no cCRE in any of the 18 biosamples.</t>
  </si>
  <si>
    <t xml:space="preserve">rs4994910 (element EH38E3013793, chr12:46,831,106-46,831,375, GRCh38):</t>
  </si>
  <si>
    <t xml:space="preserve">  FULL biosamples       1 of 3 active — CA-H3K4me3; the other two Low-DNase</t>
  </si>
  <si>
    <t xml:space="preserve">  DNase-only biosamples 4 of 10 accessible — CA-only</t>
  </si>
  <si>
    <t xml:space="preserve">  Marks-only biosamples 4 of 5 show high marks; 3 show High-H3K4me3 AND High-H3K27ac</t>
  </si>
  <si>
    <t xml:space="preserve">No biosample assigns it an enhancer-like (dELS/pELS) or promoter-like (PLS) class; dELS</t>
  </si>
  <si>
    <t xml:space="preserve">appears only in the liver.all aggregate, which is computed from pooled signal.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</si>
</sst>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i val="true"/>
      <sz val="11"/>
      <color rgb="FF80808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0"/>
    <col collapsed="false" customWidth="true" hidden="false" outlineLevel="0" max="3" min="3" style="1" width="44"/>
    <col collapsed="false" customWidth="true" hidden="false" outlineLevel="0" max="4" min="4" style="1" width="12"/>
    <col collapsed="false" customWidth="true" hidden="false" outlineLevel="0" max="5" min="5" style="1" width="34"/>
    <col collapsed="false" customWidth="true" hidden="false" outlineLevel="0" max="7" min="6" style="1" width="30"/>
    <col collapsed="false" customWidth="true" hidden="false" outlineLevel="0" max="8" min="8" style="1" width="22"/>
    <col collapsed="false" customWidth="true" hidden="false" outlineLevel="0" max="9" min="9" style="1" width="24"/>
    <col collapsed="false" customWidth="true" hidden="false" outlineLevel="0" max="10" min="10" style="1" width="17"/>
    <col collapsed="false" customWidth="true" hidden="false" outlineLevel="0" max="11" min="11" style="1" width="15"/>
    <col collapsed="false" customWidth="true" hidden="false" outlineLevel="0" max="12" min="12" style="1" width="70"/>
    <col collapsed="false" customWidth="true" hidden="false" outlineLevel="0" max="13" min="13" style="1" width="18"/>
    <col collapsed="false" customWidth="true" hidden="false" outlineLevel="0" max="14" min="14" style="1" width="28"/>
    <col collapsed="false" customWidth="true" hidden="false" outlineLevel="0" max="15" min="15" style="1" width="46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true" outlineLevel="0" collapsed="false">
      <c r="A2" s="3" t="n">
        <v>1</v>
      </c>
      <c r="B2" s="3" t="s">
        <v>16</v>
      </c>
      <c r="C2" s="3" t="s">
        <v>17</v>
      </c>
      <c r="D2" s="3" t="n">
        <v>4</v>
      </c>
      <c r="E2" s="3" t="s">
        <v>18</v>
      </c>
      <c r="F2" s="3" t="s">
        <v>19</v>
      </c>
      <c r="G2" s="3" t="s">
        <v>20</v>
      </c>
      <c r="H2" s="3" t="s">
        <v>21</v>
      </c>
      <c r="I2" s="4" t="s">
        <v>22</v>
      </c>
      <c r="J2" s="3" t="n">
        <v>84656</v>
      </c>
      <c r="K2" s="3" t="n">
        <v>2867</v>
      </c>
      <c r="L2" s="3" t="n">
        <v>0</v>
      </c>
      <c r="M2" s="3" t="s">
        <v>23</v>
      </c>
      <c r="N2" s="3" t="s">
        <v>24</v>
      </c>
      <c r="O2" s="3" t="s">
        <v>25</v>
      </c>
      <c r="P2" s="3" t="s">
        <v>26</v>
      </c>
    </row>
    <row r="3" customFormat="false" ht="15" hidden="false" customHeight="true" outlineLevel="0" collapsed="false">
      <c r="A3" s="3" t="n">
        <v>2</v>
      </c>
      <c r="B3" s="3" t="s">
        <v>27</v>
      </c>
      <c r="C3" s="3" t="s">
        <v>28</v>
      </c>
      <c r="D3" s="3" t="n">
        <v>2</v>
      </c>
      <c r="E3" s="3" t="s">
        <v>29</v>
      </c>
      <c r="F3" s="3" t="s">
        <v>30</v>
      </c>
      <c r="G3" s="3" t="s">
        <v>31</v>
      </c>
      <c r="H3" s="3" t="s">
        <v>21</v>
      </c>
      <c r="I3" s="4" t="s">
        <v>22</v>
      </c>
      <c r="J3" s="3" t="n">
        <v>84656</v>
      </c>
      <c r="K3" s="3" t="n">
        <v>0</v>
      </c>
      <c r="L3" s="3" t="n">
        <v>9416</v>
      </c>
      <c r="M3" s="3" t="s">
        <v>32</v>
      </c>
      <c r="N3" s="3" t="s">
        <v>24</v>
      </c>
      <c r="O3" s="3" t="s">
        <v>33</v>
      </c>
      <c r="P3" s="3" t="s">
        <v>34</v>
      </c>
    </row>
    <row r="4" customFormat="false" ht="15" hidden="false" customHeight="true" outlineLevel="0" collapsed="false">
      <c r="A4" s="3" t="n">
        <v>3</v>
      </c>
      <c r="B4" s="3" t="s">
        <v>35</v>
      </c>
      <c r="C4" s="3" t="s">
        <v>36</v>
      </c>
      <c r="D4" s="3" t="n">
        <v>1</v>
      </c>
      <c r="E4" s="3" t="s">
        <v>37</v>
      </c>
      <c r="F4" s="3" t="s">
        <v>30</v>
      </c>
      <c r="G4" s="3" t="s">
        <v>20</v>
      </c>
      <c r="H4" s="3" t="s">
        <v>21</v>
      </c>
      <c r="I4" s="4" t="s">
        <v>22</v>
      </c>
      <c r="J4" s="3" t="n">
        <v>84656</v>
      </c>
      <c r="K4" s="3" t="n">
        <v>3137</v>
      </c>
      <c r="L4" s="3" t="n">
        <v>0</v>
      </c>
      <c r="M4" s="3" t="s">
        <v>38</v>
      </c>
      <c r="N4" s="3" t="s">
        <v>24</v>
      </c>
      <c r="O4" s="3" t="s">
        <v>39</v>
      </c>
      <c r="P4" s="3" t="s">
        <v>40</v>
      </c>
    </row>
    <row r="5" customFormat="false" ht="15" hidden="false" customHeight="true" outlineLevel="0" collapsed="false">
      <c r="A5" s="3" t="n">
        <v>4</v>
      </c>
      <c r="B5" s="3" t="s">
        <v>41</v>
      </c>
      <c r="C5" s="3" t="s">
        <v>42</v>
      </c>
      <c r="D5" s="3" t="n">
        <v>2</v>
      </c>
      <c r="E5" s="3" t="s">
        <v>29</v>
      </c>
      <c r="F5" s="3" t="s">
        <v>30</v>
      </c>
      <c r="G5" s="3" t="s">
        <v>31</v>
      </c>
      <c r="H5" s="3" t="s">
        <v>21</v>
      </c>
      <c r="I5" s="4" t="s">
        <v>22</v>
      </c>
      <c r="J5" s="3" t="n">
        <v>84656</v>
      </c>
      <c r="K5" s="3" t="n">
        <v>0</v>
      </c>
      <c r="L5" s="3" t="n">
        <v>8644</v>
      </c>
      <c r="M5" s="3" t="s">
        <v>43</v>
      </c>
      <c r="N5" s="3" t="s">
        <v>24</v>
      </c>
      <c r="O5" s="3" t="s">
        <v>33</v>
      </c>
      <c r="P5" s="3" t="s">
        <v>44</v>
      </c>
    </row>
    <row r="6" customFormat="false" ht="15" hidden="false" customHeight="true" outlineLevel="0" collapsed="false">
      <c r="A6" s="3" t="n">
        <v>5</v>
      </c>
      <c r="B6" s="3" t="s">
        <v>45</v>
      </c>
      <c r="C6" s="3" t="s">
        <v>46</v>
      </c>
      <c r="D6" s="3" t="n">
        <v>1</v>
      </c>
      <c r="E6" s="3" t="s">
        <v>37</v>
      </c>
      <c r="F6" s="3" t="s">
        <v>30</v>
      </c>
      <c r="G6" s="3" t="s">
        <v>31</v>
      </c>
      <c r="H6" s="3" t="s">
        <v>21</v>
      </c>
      <c r="I6" s="4" t="s">
        <v>22</v>
      </c>
      <c r="J6" s="3" t="n">
        <v>84656</v>
      </c>
      <c r="K6" s="3" t="n">
        <v>2879</v>
      </c>
      <c r="L6" s="3" t="n">
        <v>0</v>
      </c>
      <c r="M6" s="3" t="s">
        <v>47</v>
      </c>
      <c r="N6" s="3" t="s">
        <v>24</v>
      </c>
      <c r="O6" s="3" t="s">
        <v>25</v>
      </c>
      <c r="P6" s="3" t="s">
        <v>48</v>
      </c>
    </row>
    <row r="7" customFormat="false" ht="15" hidden="false" customHeight="true" outlineLevel="0" collapsed="false">
      <c r="A7" s="3" t="n">
        <v>6</v>
      </c>
      <c r="B7" s="3" t="s">
        <v>49</v>
      </c>
      <c r="C7" s="3" t="s">
        <v>50</v>
      </c>
      <c r="D7" s="3" t="n">
        <v>1</v>
      </c>
      <c r="E7" s="3" t="s">
        <v>37</v>
      </c>
      <c r="F7" s="3" t="s">
        <v>30</v>
      </c>
      <c r="G7" s="3" t="s">
        <v>51</v>
      </c>
      <c r="H7" s="3" t="s">
        <v>21</v>
      </c>
      <c r="I7" s="4" t="s">
        <v>22</v>
      </c>
      <c r="J7" s="3" t="n">
        <v>84656</v>
      </c>
      <c r="K7" s="3" t="n">
        <v>3136</v>
      </c>
      <c r="L7" s="3" t="n">
        <v>0</v>
      </c>
      <c r="M7" s="3" t="s">
        <v>52</v>
      </c>
      <c r="N7" s="3" t="s">
        <v>24</v>
      </c>
      <c r="O7" s="3" t="s">
        <v>25</v>
      </c>
      <c r="P7" s="3" t="s">
        <v>53</v>
      </c>
    </row>
    <row r="8" customFormat="false" ht="15" hidden="false" customHeight="true" outlineLevel="0" collapsed="false">
      <c r="A8" s="3" t="n">
        <v>7</v>
      </c>
      <c r="B8" s="3" t="s">
        <v>54</v>
      </c>
      <c r="C8" s="3" t="s">
        <v>55</v>
      </c>
      <c r="D8" s="3" t="n">
        <v>1</v>
      </c>
      <c r="E8" s="3" t="s">
        <v>37</v>
      </c>
      <c r="F8" s="3" t="s">
        <v>30</v>
      </c>
      <c r="G8" s="3" t="s">
        <v>20</v>
      </c>
      <c r="H8" s="3" t="s">
        <v>21</v>
      </c>
      <c r="I8" s="4" t="s">
        <v>22</v>
      </c>
      <c r="J8" s="3" t="n">
        <v>84656</v>
      </c>
      <c r="K8" s="3" t="n">
        <v>2257</v>
      </c>
      <c r="L8" s="3" t="n">
        <v>0</v>
      </c>
      <c r="M8" s="3" t="s">
        <v>56</v>
      </c>
      <c r="N8" s="3" t="s">
        <v>24</v>
      </c>
      <c r="O8" s="3" t="s">
        <v>25</v>
      </c>
      <c r="P8" s="3" t="s">
        <v>57</v>
      </c>
    </row>
    <row r="9" customFormat="false" ht="15" hidden="false" customHeight="true" outlineLevel="0" collapsed="false">
      <c r="A9" s="3" t="n">
        <v>8</v>
      </c>
      <c r="B9" s="3" t="s">
        <v>58</v>
      </c>
      <c r="C9" s="3" t="s">
        <v>59</v>
      </c>
      <c r="D9" s="3" t="n">
        <v>2</v>
      </c>
      <c r="E9" s="3" t="s">
        <v>29</v>
      </c>
      <c r="F9" s="3" t="s">
        <v>30</v>
      </c>
      <c r="G9" s="3" t="s">
        <v>31</v>
      </c>
      <c r="H9" s="3" t="s">
        <v>21</v>
      </c>
      <c r="I9" s="4" t="s">
        <v>22</v>
      </c>
      <c r="J9" s="3" t="n">
        <v>84656</v>
      </c>
      <c r="K9" s="3" t="n">
        <v>0</v>
      </c>
      <c r="L9" s="3" t="n">
        <v>9057</v>
      </c>
      <c r="M9" s="3" t="s">
        <v>60</v>
      </c>
      <c r="N9" s="3" t="s">
        <v>24</v>
      </c>
      <c r="O9" s="3" t="s">
        <v>33</v>
      </c>
      <c r="P9" s="3" t="s">
        <v>61</v>
      </c>
    </row>
    <row r="10" customFormat="false" ht="15" hidden="false" customHeight="true" outlineLevel="0" collapsed="false">
      <c r="A10" s="3" t="n">
        <v>9</v>
      </c>
      <c r="B10" s="3" t="s">
        <v>62</v>
      </c>
      <c r="C10" s="3" t="s">
        <v>63</v>
      </c>
      <c r="D10" s="3" t="n">
        <v>4</v>
      </c>
      <c r="E10" s="3" t="s">
        <v>18</v>
      </c>
      <c r="F10" s="3" t="s">
        <v>19</v>
      </c>
      <c r="G10" s="3" t="s">
        <v>64</v>
      </c>
      <c r="H10" s="3" t="s">
        <v>65</v>
      </c>
      <c r="I10" s="4" t="s">
        <v>66</v>
      </c>
      <c r="J10" s="3" t="n">
        <v>84656</v>
      </c>
      <c r="K10" s="3" t="n">
        <v>4041</v>
      </c>
      <c r="L10" s="3" t="n">
        <v>0</v>
      </c>
      <c r="M10" s="3" t="s">
        <v>67</v>
      </c>
      <c r="N10" s="3" t="s">
        <v>24</v>
      </c>
      <c r="O10" s="3" t="s">
        <v>25</v>
      </c>
      <c r="P10" s="3" t="s">
        <v>68</v>
      </c>
    </row>
    <row r="11" customFormat="false" ht="15" hidden="false" customHeight="true" outlineLevel="0" collapsed="false">
      <c r="A11" s="3" t="n">
        <v>10</v>
      </c>
      <c r="B11" s="3" t="s">
        <v>69</v>
      </c>
      <c r="C11" s="3" t="s">
        <v>70</v>
      </c>
      <c r="D11" s="3" t="n">
        <v>1</v>
      </c>
      <c r="E11" s="3" t="s">
        <v>37</v>
      </c>
      <c r="F11" s="3" t="s">
        <v>30</v>
      </c>
      <c r="G11" s="3" t="s">
        <v>71</v>
      </c>
      <c r="H11" s="3" t="s">
        <v>65</v>
      </c>
      <c r="I11" s="4" t="s">
        <v>66</v>
      </c>
      <c r="J11" s="3" t="n">
        <v>84656</v>
      </c>
      <c r="K11" s="3" t="n">
        <v>4168</v>
      </c>
      <c r="L11" s="3" t="n">
        <v>0</v>
      </c>
      <c r="M11" s="3" t="s">
        <v>72</v>
      </c>
      <c r="N11" s="3" t="s">
        <v>24</v>
      </c>
      <c r="O11" s="3" t="s">
        <v>39</v>
      </c>
      <c r="P11" s="3" t="s">
        <v>73</v>
      </c>
    </row>
    <row r="12" customFormat="false" ht="15" hidden="false" customHeight="true" outlineLevel="0" collapsed="false">
      <c r="A12" s="3" t="n">
        <v>11</v>
      </c>
      <c r="B12" s="3" t="s">
        <v>74</v>
      </c>
      <c r="C12" s="3" t="s">
        <v>75</v>
      </c>
      <c r="D12" s="3" t="n">
        <v>1</v>
      </c>
      <c r="E12" s="3" t="s">
        <v>37</v>
      </c>
      <c r="F12" s="3" t="s">
        <v>30</v>
      </c>
      <c r="G12" s="3" t="s">
        <v>20</v>
      </c>
      <c r="H12" s="3" t="s">
        <v>21</v>
      </c>
      <c r="I12" s="4" t="s">
        <v>22</v>
      </c>
      <c r="J12" s="3" t="n">
        <v>84656</v>
      </c>
      <c r="K12" s="3" t="n">
        <v>3164</v>
      </c>
      <c r="L12" s="3" t="n">
        <v>0</v>
      </c>
      <c r="M12" s="3" t="s">
        <v>76</v>
      </c>
      <c r="N12" s="3" t="s">
        <v>24</v>
      </c>
      <c r="O12" s="3" t="s">
        <v>39</v>
      </c>
      <c r="P12" s="3" t="s">
        <v>77</v>
      </c>
    </row>
    <row r="13" customFormat="false" ht="15" hidden="false" customHeight="true" outlineLevel="0" collapsed="false">
      <c r="A13" s="3" t="n">
        <v>12</v>
      </c>
      <c r="B13" s="3" t="s">
        <v>78</v>
      </c>
      <c r="C13" s="3" t="s">
        <v>79</v>
      </c>
      <c r="D13" s="3" t="n">
        <v>1</v>
      </c>
      <c r="E13" s="3" t="s">
        <v>37</v>
      </c>
      <c r="F13" s="3" t="s">
        <v>30</v>
      </c>
      <c r="G13" s="3" t="s">
        <v>20</v>
      </c>
      <c r="H13" s="3" t="s">
        <v>21</v>
      </c>
      <c r="I13" s="4" t="s">
        <v>22</v>
      </c>
      <c r="J13" s="3" t="n">
        <v>84656</v>
      </c>
      <c r="K13" s="3" t="n">
        <v>3415</v>
      </c>
      <c r="L13" s="3" t="n">
        <v>0</v>
      </c>
      <c r="M13" s="3" t="s">
        <v>80</v>
      </c>
      <c r="N13" s="3" t="s">
        <v>24</v>
      </c>
      <c r="O13" s="3" t="s">
        <v>25</v>
      </c>
      <c r="P13" s="3" t="s">
        <v>81</v>
      </c>
    </row>
    <row r="14" customFormat="false" ht="15" hidden="false" customHeight="true" outlineLevel="0" collapsed="false">
      <c r="A14" s="3" t="n">
        <v>13</v>
      </c>
      <c r="B14" s="3" t="s">
        <v>82</v>
      </c>
      <c r="C14" s="3" t="s">
        <v>83</v>
      </c>
      <c r="D14" s="3" t="n">
        <v>1</v>
      </c>
      <c r="E14" s="3" t="s">
        <v>37</v>
      </c>
      <c r="F14" s="3" t="s">
        <v>30</v>
      </c>
      <c r="G14" s="3" t="s">
        <v>84</v>
      </c>
      <c r="H14" s="3" t="s">
        <v>65</v>
      </c>
      <c r="I14" s="4" t="s">
        <v>66</v>
      </c>
      <c r="J14" s="3" t="n">
        <v>84656</v>
      </c>
      <c r="K14" s="3" t="n">
        <v>4113</v>
      </c>
      <c r="L14" s="3" t="n">
        <v>0</v>
      </c>
      <c r="M14" s="3" t="s">
        <v>85</v>
      </c>
      <c r="N14" s="3" t="s">
        <v>24</v>
      </c>
      <c r="O14" s="3" t="s">
        <v>39</v>
      </c>
      <c r="P14" s="3" t="s">
        <v>86</v>
      </c>
    </row>
    <row r="15" customFormat="false" ht="15" hidden="false" customHeight="true" outlineLevel="0" collapsed="false">
      <c r="A15" s="3" t="n">
        <v>14</v>
      </c>
      <c r="B15" s="3" t="s">
        <v>87</v>
      </c>
      <c r="C15" s="3" t="s">
        <v>88</v>
      </c>
      <c r="D15" s="3" t="n">
        <v>1</v>
      </c>
      <c r="E15" s="3" t="s">
        <v>29</v>
      </c>
      <c r="F15" s="3" t="s">
        <v>30</v>
      </c>
      <c r="G15" s="3" t="s">
        <v>31</v>
      </c>
      <c r="H15" s="3" t="s">
        <v>21</v>
      </c>
      <c r="I15" s="4" t="s">
        <v>22</v>
      </c>
      <c r="J15" s="3" t="n">
        <v>84656</v>
      </c>
      <c r="K15" s="3" t="n">
        <v>0</v>
      </c>
      <c r="L15" s="3" t="n">
        <v>2119</v>
      </c>
      <c r="M15" s="3" t="s">
        <v>89</v>
      </c>
      <c r="N15" s="3" t="s">
        <v>24</v>
      </c>
      <c r="O15" s="3" t="s">
        <v>90</v>
      </c>
      <c r="P15" s="3" t="s">
        <v>91</v>
      </c>
    </row>
    <row r="16" customFormat="false" ht="15" hidden="false" customHeight="true" outlineLevel="0" collapsed="false">
      <c r="A16" s="3" t="n">
        <v>15</v>
      </c>
      <c r="B16" s="3" t="s">
        <v>92</v>
      </c>
      <c r="C16" s="3" t="s">
        <v>93</v>
      </c>
      <c r="D16" s="3" t="n">
        <v>1</v>
      </c>
      <c r="E16" s="3" t="s">
        <v>37</v>
      </c>
      <c r="F16" s="3" t="s">
        <v>30</v>
      </c>
      <c r="G16" s="3" t="s">
        <v>31</v>
      </c>
      <c r="H16" s="3" t="s">
        <v>21</v>
      </c>
      <c r="I16" s="4" t="s">
        <v>22</v>
      </c>
      <c r="J16" s="3" t="n">
        <v>84656</v>
      </c>
      <c r="K16" s="3" t="n">
        <v>1692</v>
      </c>
      <c r="L16" s="3" t="n">
        <v>0</v>
      </c>
      <c r="M16" s="3" t="s">
        <v>94</v>
      </c>
      <c r="N16" s="3" t="s">
        <v>24</v>
      </c>
      <c r="O16" s="3" t="s">
        <v>25</v>
      </c>
      <c r="P16" s="3" t="s">
        <v>95</v>
      </c>
    </row>
    <row r="17" customFormat="false" ht="15" hidden="false" customHeight="true" outlineLevel="0" collapsed="false">
      <c r="A17" s="3" t="n">
        <v>16</v>
      </c>
      <c r="B17" s="3" t="s">
        <v>96</v>
      </c>
      <c r="C17" s="3" t="s">
        <v>97</v>
      </c>
      <c r="D17" s="3" t="n">
        <v>1</v>
      </c>
      <c r="E17" s="3" t="s">
        <v>37</v>
      </c>
      <c r="F17" s="3" t="s">
        <v>30</v>
      </c>
      <c r="G17" s="3" t="s">
        <v>98</v>
      </c>
      <c r="H17" s="3" t="s">
        <v>21</v>
      </c>
      <c r="I17" s="4" t="s">
        <v>99</v>
      </c>
      <c r="J17" s="3" t="n">
        <v>84656</v>
      </c>
      <c r="K17" s="3" t="n">
        <v>4388</v>
      </c>
      <c r="L17" s="3" t="n">
        <v>0</v>
      </c>
      <c r="M17" s="3" t="s">
        <v>100</v>
      </c>
      <c r="N17" s="3" t="s">
        <v>24</v>
      </c>
      <c r="O17" s="3" t="s">
        <v>25</v>
      </c>
      <c r="P17" s="3" t="s">
        <v>101</v>
      </c>
    </row>
    <row r="18" customFormat="false" ht="15" hidden="false" customHeight="true" outlineLevel="0" collapsed="false">
      <c r="A18" s="3" t="n">
        <v>17</v>
      </c>
      <c r="B18" s="3" t="s">
        <v>102</v>
      </c>
      <c r="C18" s="3" t="s">
        <v>103</v>
      </c>
      <c r="D18" s="3" t="n">
        <v>4</v>
      </c>
      <c r="E18" s="3" t="s">
        <v>18</v>
      </c>
      <c r="F18" s="3" t="s">
        <v>19</v>
      </c>
      <c r="G18" s="3" t="s">
        <v>104</v>
      </c>
      <c r="H18" s="3" t="s">
        <v>105</v>
      </c>
      <c r="I18" s="4" t="s">
        <v>106</v>
      </c>
      <c r="J18" s="3" t="n">
        <v>84656</v>
      </c>
      <c r="K18" s="3" t="n">
        <v>5843</v>
      </c>
      <c r="L18" s="3" t="n">
        <v>0</v>
      </c>
      <c r="M18" s="3" t="s">
        <v>107</v>
      </c>
      <c r="N18" s="3" t="s">
        <v>24</v>
      </c>
      <c r="O18" s="3" t="s">
        <v>108</v>
      </c>
      <c r="P18" s="3" t="s">
        <v>109</v>
      </c>
    </row>
    <row r="19" customFormat="false" ht="15" hidden="false" customHeight="true" outlineLevel="0" collapsed="false">
      <c r="A19" s="3" t="n">
        <v>18</v>
      </c>
      <c r="B19" s="3" t="s">
        <v>110</v>
      </c>
      <c r="C19" s="3" t="s">
        <v>111</v>
      </c>
      <c r="D19" s="3" t="n">
        <v>1</v>
      </c>
      <c r="E19" s="3" t="s">
        <v>29</v>
      </c>
      <c r="F19" s="3" t="s">
        <v>30</v>
      </c>
      <c r="G19" s="3" t="s">
        <v>31</v>
      </c>
      <c r="H19" s="3" t="s">
        <v>21</v>
      </c>
      <c r="I19" s="4" t="s">
        <v>22</v>
      </c>
      <c r="J19" s="3" t="n">
        <v>84656</v>
      </c>
      <c r="K19" s="3" t="n">
        <v>0</v>
      </c>
      <c r="L19" s="3" t="n">
        <v>5260</v>
      </c>
      <c r="M19" s="3" t="s">
        <v>112</v>
      </c>
      <c r="N19" s="3" t="s">
        <v>24</v>
      </c>
      <c r="O19" s="3" t="s">
        <v>113</v>
      </c>
      <c r="P19" s="3" t="s">
        <v>114</v>
      </c>
    </row>
    <row r="20" customFormat="false" ht="15" hidden="false" customHeight="true" outlineLevel="0" collapsed="false">
      <c r="A20" s="5" t="s">
        <v>115</v>
      </c>
      <c r="D20" s="5" t="n">
        <f aca="false">SUM(D2:D19)</f>
        <v>30</v>
      </c>
      <c r="J20" s="5" t="n">
        <f aca="false">SUM(I2:I19)</f>
        <v>0</v>
      </c>
      <c r="K20" s="5" t="n">
        <f aca="false">SUM(J2:J19)</f>
        <v>1523808</v>
      </c>
      <c r="L20" s="5" t="n">
        <f aca="false">SUM(K2:K19)</f>
        <v>45100</v>
      </c>
    </row>
    <row r="22" customFormat="false" ht="15" hidden="false" customHeight="true" outlineLevel="0" collapsed="false">
      <c r="A22" s="6"/>
      <c r="G22" s="7"/>
      <c r="H22" s="7"/>
      <c r="J22" s="7"/>
    </row>
  </sheetData>
  <autoFilter ref="A1:O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2"/>
  </cols>
  <sheetData>
    <row r="1" customFormat="false" ht="15.75" hidden="false" customHeight="true" outlineLevel="0" collapsed="false">
      <c r="A1" s="8" t="s">
        <v>116</v>
      </c>
    </row>
    <row r="2" customFormat="false" ht="15" hidden="false" customHeight="true" outlineLevel="0" collapsed="false">
      <c r="A2" s="4"/>
    </row>
    <row r="3" customFormat="false" ht="15" hidden="false" customHeight="true" outlineLevel="0" collapsed="false">
      <c r="A3" s="4" t="s">
        <v>117</v>
      </c>
    </row>
    <row r="4" customFormat="false" ht="15" hidden="false" customHeight="true" outlineLevel="0" collapsed="false">
      <c r="A4" s="4" t="s">
        <v>118</v>
      </c>
    </row>
    <row r="5" customFormat="false" ht="15" hidden="false" customHeight="true" outlineLevel="0" collapsed="false">
      <c r="A5" s="4"/>
    </row>
    <row r="6" customFormat="false" ht="15" hidden="false" customHeight="true" outlineLevel="0" collapsed="false">
      <c r="A6" s="9" t="s">
        <v>119</v>
      </c>
    </row>
    <row r="7" customFormat="false" ht="15" hidden="false" customHeight="true" outlineLevel="0" collapsed="false">
      <c r="A7" s="4" t="s">
        <v>120</v>
      </c>
    </row>
    <row r="8" customFormat="false" ht="15" hidden="false" customHeight="true" outlineLevel="0" collapsed="false">
      <c r="A8" s="4" t="s">
        <v>121</v>
      </c>
    </row>
    <row r="9" customFormat="false" ht="15" hidden="false" customHeight="true" outlineLevel="0" collapsed="false">
      <c r="A9" s="4" t="s">
        <v>122</v>
      </c>
    </row>
    <row r="10" customFormat="false" ht="15" hidden="false" customHeight="true" outlineLevel="0" collapsed="false">
      <c r="A10" s="4" t="s">
        <v>123</v>
      </c>
    </row>
    <row r="11" customFormat="false" ht="15" hidden="false" customHeight="true" outlineLevel="0" collapsed="false">
      <c r="A11" s="4"/>
    </row>
    <row r="12" customFormat="false" ht="15" hidden="false" customHeight="true" outlineLevel="0" collapsed="false">
      <c r="A12" s="9" t="s">
        <v>124</v>
      </c>
    </row>
    <row r="13" customFormat="false" ht="15" hidden="false" customHeight="true" outlineLevel="0" collapsed="false">
      <c r="A13" s="4" t="s">
        <v>125</v>
      </c>
    </row>
    <row r="14" customFormat="false" ht="15" hidden="false" customHeight="true" outlineLevel="0" collapsed="false">
      <c r="A14" s="4" t="s">
        <v>126</v>
      </c>
    </row>
    <row r="15" customFormat="false" ht="15" hidden="false" customHeight="true" outlineLevel="0" collapsed="false">
      <c r="A15" s="4"/>
    </row>
    <row r="16" customFormat="false" ht="15" hidden="false" customHeight="true" outlineLevel="0" collapsed="false">
      <c r="A16" s="9" t="s">
        <v>127</v>
      </c>
    </row>
    <row r="17" customFormat="false" ht="15" hidden="false" customHeight="true" outlineLevel="0" collapsed="false">
      <c r="A17" s="4" t="s">
        <v>128</v>
      </c>
    </row>
    <row r="18" customFormat="false" ht="15" hidden="false" customHeight="true" outlineLevel="0" collapsed="false">
      <c r="A18" s="4" t="s">
        <v>129</v>
      </c>
    </row>
    <row r="19" customFormat="false" ht="15" hidden="false" customHeight="true" outlineLevel="0" collapsed="false">
      <c r="A19" s="4" t="s">
        <v>130</v>
      </c>
    </row>
    <row r="20" customFormat="false" ht="15" hidden="false" customHeight="true" outlineLevel="0" collapsed="false">
      <c r="A20" s="4" t="s">
        <v>131</v>
      </c>
    </row>
    <row r="21" customFormat="false" ht="15" hidden="false" customHeight="true" outlineLevel="0" collapsed="false">
      <c r="A21" s="4" t="s">
        <v>132</v>
      </c>
    </row>
    <row r="22" customFormat="false" ht="15" hidden="false" customHeight="true" outlineLevel="0" collapsed="false">
      <c r="A22" s="4" t="s">
        <v>133</v>
      </c>
    </row>
    <row r="23" customFormat="false" ht="15" hidden="false" customHeight="true" outlineLevel="0" collapsed="false">
      <c r="A23" s="4"/>
    </row>
    <row r="24" customFormat="false" ht="15" hidden="false" customHeight="true" outlineLevel="0" collapsed="false">
      <c r="A24" s="9" t="s">
        <v>134</v>
      </c>
    </row>
    <row r="25" customFormat="false" ht="15" hidden="false" customHeight="true" outlineLevel="0" collapsed="false">
      <c r="A25" s="4" t="s">
        <v>135</v>
      </c>
    </row>
    <row r="26" customFormat="false" ht="15" hidden="false" customHeight="true" outlineLevel="0" collapsed="false">
      <c r="A26" s="4" t="s">
        <v>136</v>
      </c>
    </row>
    <row r="27" customFormat="false" ht="15" hidden="false" customHeight="true" outlineLevel="0" collapsed="false">
      <c r="A27" s="4" t="s">
        <v>137</v>
      </c>
    </row>
    <row r="28" customFormat="false" ht="15" hidden="false" customHeight="true" outlineLevel="0" collapsed="false">
      <c r="A28" s="4" t="s">
        <v>138</v>
      </c>
    </row>
    <row r="29" customFormat="false" ht="15" hidden="false" customHeight="true" outlineLevel="0" collapsed="false">
      <c r="A29" s="4" t="s">
        <v>139</v>
      </c>
    </row>
    <row r="30" customFormat="false" ht="15" hidden="false" customHeight="true" outlineLevel="0" collapsed="false">
      <c r="A30" s="4" t="s">
        <v>140</v>
      </c>
    </row>
    <row r="31" customFormat="false" ht="15" hidden="false" customHeight="true" outlineLevel="0" collapsed="false">
      <c r="A31" s="4"/>
    </row>
    <row r="32" customFormat="false" ht="15" hidden="false" customHeight="true" outlineLevel="0" collapsed="false">
      <c r="A32" s="9" t="s">
        <v>141</v>
      </c>
    </row>
    <row r="33" customFormat="false" ht="15" hidden="false" customHeight="true" outlineLevel="0" collapsed="false">
      <c r="A33" s="4" t="s">
        <v>142</v>
      </c>
    </row>
    <row r="34" customFormat="false" ht="15" hidden="false" customHeight="true" outlineLevel="0" collapsed="false">
      <c r="A34" s="4" t="s">
        <v>143</v>
      </c>
    </row>
    <row r="35" customFormat="false" ht="15" hidden="false" customHeight="true" outlineLevel="0" collapsed="false">
      <c r="A35" s="4" t="s">
        <v>144</v>
      </c>
    </row>
    <row r="36" customFormat="false" ht="15" hidden="false" customHeight="true" outlineLevel="0" collapsed="false">
      <c r="A36" s="4" t="s">
        <v>145</v>
      </c>
    </row>
    <row r="37" customFormat="false" ht="15" hidden="false" customHeight="true" outlineLevel="0" collapsed="false">
      <c r="A37" s="4" t="s">
        <v>146</v>
      </c>
    </row>
    <row r="38" customFormat="false" ht="15" hidden="false" customHeight="true" outlineLevel="0" collapsed="false">
      <c r="A38" s="4"/>
    </row>
    <row r="39" customFormat="false" ht="15" hidden="false" customHeight="true" outlineLevel="0" collapsed="false">
      <c r="A39" s="9" t="s">
        <v>147</v>
      </c>
    </row>
    <row r="40" customFormat="false" ht="15" hidden="false" customHeight="true" outlineLevel="0" collapsed="false">
      <c r="A40" s="4" t="s">
        <v>148</v>
      </c>
    </row>
    <row r="41" customFormat="false" ht="15" hidden="false" customHeight="true" outlineLevel="0" collapsed="false">
      <c r="A41" s="4" t="s">
        <v>149</v>
      </c>
    </row>
    <row r="42" customFormat="false" ht="15" hidden="false" customHeight="true" outlineLevel="0" collapsed="false">
      <c r="A42" s="4" t="s">
        <v>150</v>
      </c>
    </row>
    <row r="43" customFormat="false" ht="15" hidden="false" customHeight="true" outlineLevel="0" collapsed="false">
      <c r="A43" s="4" t="s">
        <v>151</v>
      </c>
    </row>
    <row r="44" customFormat="false" ht="15" hidden="false" customHeight="true" outlineLevel="0" collapsed="false">
      <c r="A44" s="4" t="s">
        <v>152</v>
      </c>
    </row>
    <row r="45" customFormat="false" ht="15" hidden="false" customHeight="true" outlineLevel="0" collapsed="false">
      <c r="A45" s="4" t="s">
        <v>153</v>
      </c>
    </row>
    <row r="46" customFormat="false" ht="15" hidden="false" customHeight="true" outlineLevel="0" collapsed="false">
      <c r="A46" s="4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2026-07-30T18:44:26Z</dcterms:created>
  <dc:creator>openpyxl</dc:creator>
  <dc:description/>
  <dc:language>en-US</dc:language>
  <cp:lastModifiedBy/>
  <dcterms:modified xsi:type="dcterms:W3CDTF">2026-07-30T21:16:57Z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